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13_ncr:1_{3CF02709-E53B-475A-A3D7-80C04AE20848}" xr6:coauthVersionLast="47" xr6:coauthVersionMax="47" xr10:uidLastSave="{00000000-0000-0000-0000-000000000000}"/>
  <bookViews>
    <workbookView xWindow="-108" yWindow="-108" windowWidth="23256" windowHeight="13176" firstSheet="2" activeTab="2" xr2:uid="{00000000-000D-0000-FFFF-FFFF00000000}"/>
  </bookViews>
  <sheets>
    <sheet name="OBR" sheetId="6" r:id="rId1"/>
    <sheet name="VOUCHER" sheetId="5" r:id="rId2"/>
    <sheet name="payroll(FEB)" sheetId="40" r:id="rId3"/>
    <sheet name=" gsis" sheetId="20" r:id="rId4"/>
    <sheet name="PAG-IBIG" sheetId="24" r:id="rId5"/>
    <sheet name="WTAX" sheetId="29" r:id="rId6"/>
    <sheet name="DBP" sheetId="30" r:id="rId7"/>
    <sheet name="PARACLE" sheetId="42" r:id="rId8"/>
    <sheet name="LBP" sheetId="31" r:id="rId9"/>
    <sheet name="CNGWMPC" sheetId="34" r:id="rId10"/>
    <sheet name="PAYSLIP" sheetId="37" r:id="rId11"/>
    <sheet name="PHIC (1)" sheetId="41" r:id="rId12"/>
  </sheets>
  <externalReferences>
    <externalReference r:id="rId13"/>
  </externalReferences>
  <definedNames>
    <definedName name="_xlnm.Print_Area" localSheetId="0">OBR!$A$1:$K$49</definedName>
    <definedName name="_xlnm.Print_Area" localSheetId="2">'payroll(FEB)'!$A$1:$AG$65</definedName>
    <definedName name="_xlnm.Print_Area" localSheetId="1">VOUCHER!$A$1:$P$184</definedName>
  </definedNames>
  <calcPr calcId="191029"/>
  <customWorkbookViews>
    <customWorkbookView name="HRMD - Personal View" guid="{5F0444E0-4BFE-11D6-AC5D-00000100BBEE}" personalView="1" maximized="1" windowWidth="796" windowHeight="43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2" i="37" l="1"/>
  <c r="E22" i="40"/>
  <c r="E42" i="40"/>
  <c r="O43" i="40"/>
  <c r="C896" i="37" l="1"/>
  <c r="C911" i="37"/>
  <c r="C910" i="37"/>
  <c r="G751" i="37"/>
  <c r="G753" i="37"/>
  <c r="C618" i="37" l="1"/>
  <c r="X44" i="40" l="1"/>
  <c r="G467" i="37" l="1"/>
  <c r="G351" i="37"/>
  <c r="C270" i="37"/>
  <c r="C190" i="37"/>
  <c r="G148" i="37"/>
  <c r="G66" i="37"/>
  <c r="C66" i="37"/>
  <c r="C230" i="37" l="1"/>
  <c r="C673" i="37" l="1"/>
  <c r="C549" i="37" l="1"/>
  <c r="G107" i="37"/>
  <c r="U46" i="40" l="1"/>
  <c r="P13" i="40" l="1"/>
  <c r="O38" i="40" l="1"/>
  <c r="O37" i="40"/>
  <c r="O33" i="40"/>
  <c r="O30" i="40"/>
  <c r="O25" i="40"/>
  <c r="O21" i="40"/>
  <c r="O17" i="40"/>
  <c r="O16" i="40"/>
  <c r="O14" i="40"/>
  <c r="O13" i="40"/>
  <c r="O12" i="40"/>
  <c r="S76" i="20"/>
  <c r="R76" i="20"/>
  <c r="P23" i="40"/>
  <c r="P38" i="40"/>
  <c r="L44" i="40"/>
  <c r="M44" i="40"/>
  <c r="P76" i="20"/>
  <c r="S27" i="34"/>
  <c r="AB22" i="40" s="1"/>
  <c r="Y22" i="40"/>
  <c r="W22" i="40"/>
  <c r="V22" i="40"/>
  <c r="R22" i="40"/>
  <c r="Q22" i="40"/>
  <c r="N22" i="40"/>
  <c r="M22" i="40"/>
  <c r="L22" i="40"/>
  <c r="I22" i="40"/>
  <c r="K22" i="40"/>
  <c r="X22" i="40"/>
  <c r="H22" i="40" l="1"/>
  <c r="I28" i="20"/>
  <c r="J28" i="20"/>
  <c r="G22" i="40" s="1"/>
  <c r="F22" i="40" l="1"/>
  <c r="AF22" i="40" s="1"/>
  <c r="C61" i="37"/>
  <c r="G752" i="37" l="1"/>
  <c r="C548" i="37"/>
  <c r="G69" i="37"/>
  <c r="N99" i="34"/>
  <c r="L38" i="40"/>
  <c r="E24" i="40" l="1"/>
  <c r="C862" i="37" l="1"/>
  <c r="G233" i="37" l="1"/>
  <c r="G744" i="37" l="1"/>
  <c r="Z42" i="40" l="1"/>
  <c r="Z38" i="40"/>
  <c r="Z12" i="40"/>
  <c r="P33" i="40" l="1"/>
  <c r="M20" i="40" l="1"/>
  <c r="M13" i="40"/>
  <c r="G897" i="37"/>
  <c r="G856" i="37"/>
  <c r="G779" i="37"/>
  <c r="G540" i="37"/>
  <c r="G459" i="37"/>
  <c r="C376" i="37"/>
  <c r="C233" i="37"/>
  <c r="C151" i="37" l="1"/>
  <c r="C272" i="37" l="1"/>
  <c r="C657" i="37" l="1"/>
  <c r="P21" i="40" l="1"/>
  <c r="P19" i="40"/>
  <c r="P15" i="40"/>
  <c r="C868" i="37" l="1"/>
  <c r="U42" i="40" l="1"/>
  <c r="G902" i="37"/>
  <c r="G900" i="37"/>
  <c r="G892" i="37"/>
  <c r="F889" i="37"/>
  <c r="F888" i="37"/>
  <c r="C901" i="37"/>
  <c r="C899" i="37"/>
  <c r="C891" i="37"/>
  <c r="B888" i="37"/>
  <c r="B887" i="37"/>
  <c r="G861" i="37"/>
  <c r="G859" i="37"/>
  <c r="G851" i="37"/>
  <c r="F848" i="37"/>
  <c r="F847" i="37"/>
  <c r="C858" i="37"/>
  <c r="G831" i="37"/>
  <c r="G819" i="37"/>
  <c r="C819" i="37"/>
  <c r="G740" i="37"/>
  <c r="C672" i="37"/>
  <c r="C671" i="37"/>
  <c r="C670" i="37"/>
  <c r="C660" i="37"/>
  <c r="C634" i="37"/>
  <c r="C632" i="37"/>
  <c r="C621" i="37"/>
  <c r="G592" i="37"/>
  <c r="G591" i="37"/>
  <c r="G580" i="37"/>
  <c r="C553" i="37"/>
  <c r="C552" i="37"/>
  <c r="C551" i="37"/>
  <c r="C550" i="37"/>
  <c r="C540" i="37"/>
  <c r="G499" i="37"/>
  <c r="C509" i="37"/>
  <c r="C499" i="37"/>
  <c r="C512" i="37"/>
  <c r="C511" i="37"/>
  <c r="C510" i="37"/>
  <c r="C507" i="37"/>
  <c r="C493" i="37"/>
  <c r="G471" i="37"/>
  <c r="G468" i="37"/>
  <c r="G470" i="37"/>
  <c r="G469" i="37"/>
  <c r="G462" i="37"/>
  <c r="C472" i="37"/>
  <c r="C471" i="37"/>
  <c r="C459" i="37"/>
  <c r="G428" i="37"/>
  <c r="G432" i="37"/>
  <c r="G431" i="37"/>
  <c r="G430" i="37"/>
  <c r="G419" i="37"/>
  <c r="C419" i="37"/>
  <c r="H77" i="42" l="1"/>
  <c r="H22" i="42"/>
  <c r="X50" i="41" l="1"/>
  <c r="W50" i="41"/>
  <c r="K76" i="20"/>
  <c r="H76" i="20"/>
  <c r="L41" i="40"/>
  <c r="M28" i="40"/>
  <c r="S97" i="34" l="1"/>
  <c r="S98" i="34"/>
  <c r="S96" i="34"/>
  <c r="AB43" i="40" s="1"/>
  <c r="G865" i="37" s="1"/>
  <c r="F99" i="34"/>
  <c r="AB45" i="40" l="1"/>
  <c r="G906" i="37"/>
  <c r="AB44" i="40"/>
  <c r="C905" i="37"/>
  <c r="X45" i="40"/>
  <c r="X43" i="40"/>
  <c r="C379" i="37" l="1"/>
  <c r="G339" i="37"/>
  <c r="G300" i="37"/>
  <c r="G313" i="37"/>
  <c r="G308" i="37"/>
  <c r="C311" i="37"/>
  <c r="C312" i="37"/>
  <c r="C308" i="37"/>
  <c r="C232" i="37"/>
  <c r="C231" i="37"/>
  <c r="C229" i="37"/>
  <c r="C214" i="37"/>
  <c r="G194" i="37"/>
  <c r="C194" i="37"/>
  <c r="C193" i="37"/>
  <c r="C192" i="37"/>
  <c r="G152" i="37"/>
  <c r="G151" i="37"/>
  <c r="G150" i="37"/>
  <c r="G112" i="37"/>
  <c r="G111" i="37"/>
  <c r="G110" i="37"/>
  <c r="G109" i="37"/>
  <c r="G108" i="37"/>
  <c r="G70" i="37"/>
  <c r="G68" i="37"/>
  <c r="C70" i="37"/>
  <c r="C69" i="37"/>
  <c r="C68" i="37"/>
  <c r="C67" i="37"/>
  <c r="C51" i="37"/>
  <c r="G29" i="37"/>
  <c r="G27" i="37"/>
  <c r="G30" i="37"/>
  <c r="AC46" i="40"/>
  <c r="W45" i="40"/>
  <c r="W44" i="40"/>
  <c r="W43" i="40"/>
  <c r="V45" i="40"/>
  <c r="V44" i="40"/>
  <c r="V43" i="40"/>
  <c r="R45" i="40"/>
  <c r="R44" i="40"/>
  <c r="R43" i="40"/>
  <c r="Q45" i="40"/>
  <c r="Q44" i="40"/>
  <c r="Q43" i="40"/>
  <c r="H46" i="29"/>
  <c r="I69" i="24"/>
  <c r="H69" i="24"/>
  <c r="H43" i="40"/>
  <c r="H44" i="40"/>
  <c r="H45" i="40"/>
  <c r="E45" i="40"/>
  <c r="G891" i="37" s="1"/>
  <c r="E44" i="40"/>
  <c r="C890" i="37" s="1"/>
  <c r="E43" i="40"/>
  <c r="G850" i="37" s="1"/>
  <c r="J75" i="20"/>
  <c r="G45" i="40" s="1"/>
  <c r="I75" i="20"/>
  <c r="G901" i="37" s="1"/>
  <c r="G915" i="37" s="1"/>
  <c r="I74" i="20"/>
  <c r="C900" i="37" s="1"/>
  <c r="C914" i="37" s="1"/>
  <c r="J74" i="20"/>
  <c r="G44" i="40" s="1"/>
  <c r="I73" i="20"/>
  <c r="G860" i="37" s="1"/>
  <c r="G874" i="37" s="1"/>
  <c r="J73" i="20"/>
  <c r="G43" i="40" s="1"/>
  <c r="F44" i="40" l="1"/>
  <c r="F45" i="40"/>
  <c r="AF45" i="40" s="1"/>
  <c r="C915" i="37"/>
  <c r="F43" i="40"/>
  <c r="AF43" i="40" s="1"/>
  <c r="G875" i="37"/>
  <c r="G916" i="37"/>
  <c r="AF44" i="40"/>
  <c r="G231" i="37"/>
  <c r="G232" i="37"/>
  <c r="G217" i="37"/>
  <c r="C148" i="37" l="1"/>
  <c r="C150" i="37"/>
  <c r="C271" i="37"/>
  <c r="C273" i="37"/>
  <c r="C258" i="37"/>
  <c r="C254" i="37"/>
  <c r="P37" i="40" l="1"/>
  <c r="P31" i="40"/>
  <c r="P30" i="40"/>
  <c r="P24" i="40"/>
  <c r="P20" i="40"/>
  <c r="P14" i="40"/>
  <c r="O19" i="40"/>
  <c r="O31" i="40"/>
  <c r="N33" i="40"/>
  <c r="N30" i="40"/>
  <c r="N29" i="40"/>
  <c r="N28" i="40"/>
  <c r="N24" i="40"/>
  <c r="N23" i="40"/>
  <c r="N17" i="40"/>
  <c r="N14" i="40"/>
  <c r="N12" i="40"/>
  <c r="N11" i="40"/>
  <c r="M37" i="40"/>
  <c r="M33" i="40"/>
  <c r="M31" i="40"/>
  <c r="M30" i="40"/>
  <c r="M16" i="40"/>
  <c r="M14" i="40"/>
  <c r="M12" i="40"/>
  <c r="M11" i="40"/>
  <c r="M46" i="40" s="1"/>
  <c r="L37" i="40"/>
  <c r="L36" i="40"/>
  <c r="L35" i="40"/>
  <c r="L33" i="40"/>
  <c r="L31" i="40"/>
  <c r="L30" i="40"/>
  <c r="L29" i="40"/>
  <c r="L28" i="40"/>
  <c r="L23" i="40"/>
  <c r="L21" i="40"/>
  <c r="L20" i="40"/>
  <c r="L19" i="40"/>
  <c r="L18" i="40"/>
  <c r="L17" i="40"/>
  <c r="L16" i="40"/>
  <c r="L15" i="40"/>
  <c r="L14" i="40"/>
  <c r="L13" i="40"/>
  <c r="L12" i="40"/>
  <c r="L11" i="40"/>
  <c r="K22" i="6"/>
  <c r="W33" i="40"/>
  <c r="W34" i="40"/>
  <c r="W35" i="40"/>
  <c r="W36" i="40"/>
  <c r="W37" i="40"/>
  <c r="W38" i="40"/>
  <c r="W39" i="40"/>
  <c r="W40" i="40"/>
  <c r="W41" i="40"/>
  <c r="W42" i="40"/>
  <c r="V33" i="40"/>
  <c r="V34" i="40"/>
  <c r="V35" i="40"/>
  <c r="V36" i="40"/>
  <c r="V37" i="40"/>
  <c r="V38" i="40"/>
  <c r="V39" i="40"/>
  <c r="V40" i="40"/>
  <c r="V41" i="40"/>
  <c r="V42" i="40"/>
  <c r="W32" i="40"/>
  <c r="V32" i="40"/>
  <c r="W31" i="40"/>
  <c r="V31" i="40"/>
  <c r="W30" i="40"/>
  <c r="V30" i="40"/>
  <c r="W29" i="40"/>
  <c r="V29" i="40"/>
  <c r="W28" i="40"/>
  <c r="V28" i="40"/>
  <c r="W27" i="40"/>
  <c r="V27" i="40"/>
  <c r="W26" i="40"/>
  <c r="V26" i="40"/>
  <c r="W25" i="40"/>
  <c r="V25" i="40"/>
  <c r="W24" i="40"/>
  <c r="V24" i="40"/>
  <c r="T21" i="40"/>
  <c r="T19" i="40"/>
  <c r="T14" i="40"/>
  <c r="S31" i="40"/>
  <c r="S21" i="40"/>
  <c r="S19" i="40"/>
  <c r="S12" i="40"/>
  <c r="L46" i="40" l="1"/>
  <c r="L70" i="24"/>
  <c r="K31" i="24"/>
  <c r="K32" i="24" s="1"/>
  <c r="K70" i="24" s="1"/>
  <c r="J69" i="24"/>
  <c r="J31" i="24"/>
  <c r="J32" i="24" s="1"/>
  <c r="K37" i="40"/>
  <c r="K36" i="40"/>
  <c r="K35" i="40"/>
  <c r="K33" i="40"/>
  <c r="K31" i="40"/>
  <c r="K30" i="40"/>
  <c r="K28" i="40"/>
  <c r="K23" i="40"/>
  <c r="K21" i="40"/>
  <c r="K19" i="40"/>
  <c r="K17" i="40"/>
  <c r="K16" i="40"/>
  <c r="K15" i="40"/>
  <c r="K14" i="40"/>
  <c r="K13" i="40"/>
  <c r="K12" i="40"/>
  <c r="H42" i="40"/>
  <c r="H41" i="40"/>
  <c r="H40" i="40"/>
  <c r="H39" i="40"/>
  <c r="H38" i="40"/>
  <c r="H37" i="40"/>
  <c r="H36" i="40"/>
  <c r="H35" i="40"/>
  <c r="H34" i="40"/>
  <c r="H33" i="40"/>
  <c r="H32" i="40"/>
  <c r="H31" i="40"/>
  <c r="H30" i="40"/>
  <c r="H29" i="40"/>
  <c r="H28" i="40"/>
  <c r="H27" i="40"/>
  <c r="H26" i="40"/>
  <c r="H25" i="40"/>
  <c r="H24" i="40"/>
  <c r="H23" i="40"/>
  <c r="H21" i="40"/>
  <c r="H20" i="40"/>
  <c r="H19" i="40"/>
  <c r="H18" i="40"/>
  <c r="H17" i="40"/>
  <c r="H16" i="40"/>
  <c r="H15" i="40"/>
  <c r="H14" i="40"/>
  <c r="H13" i="40"/>
  <c r="H12" i="40"/>
  <c r="H11" i="40"/>
  <c r="H10" i="40"/>
  <c r="M76" i="20"/>
  <c r="O76" i="20"/>
  <c r="O40" i="20"/>
  <c r="M40" i="20"/>
  <c r="R40" i="20"/>
  <c r="Q40" i="20"/>
  <c r="Q77" i="20" s="1"/>
  <c r="P40" i="20"/>
  <c r="P77" i="20" s="1"/>
  <c r="N40" i="20"/>
  <c r="N76" i="20"/>
  <c r="K40" i="20"/>
  <c r="H46" i="40" l="1"/>
  <c r="J70" i="24"/>
  <c r="O77" i="20"/>
  <c r="M77" i="20"/>
  <c r="K77" i="20"/>
  <c r="N77" i="20"/>
  <c r="R77" i="20"/>
  <c r="C860" i="37"/>
  <c r="C850" i="37"/>
  <c r="B847" i="37"/>
  <c r="B846" i="37"/>
  <c r="G821" i="37"/>
  <c r="C821" i="37"/>
  <c r="G811" i="37"/>
  <c r="C811" i="37"/>
  <c r="F808" i="37"/>
  <c r="B808" i="37"/>
  <c r="F807" i="37"/>
  <c r="B807" i="37"/>
  <c r="E799" i="37"/>
  <c r="A839" i="37" s="1"/>
  <c r="E839" i="37" s="1"/>
  <c r="A878" i="37" s="1"/>
  <c r="E879" i="37" s="1"/>
  <c r="A919" i="37" s="1"/>
  <c r="E920" i="37" s="1"/>
  <c r="G781" i="37"/>
  <c r="G771" i="37"/>
  <c r="F768" i="37"/>
  <c r="F767" i="37"/>
  <c r="G745" i="37"/>
  <c r="G742" i="37"/>
  <c r="G737" i="37"/>
  <c r="G731" i="37"/>
  <c r="B729" i="37"/>
  <c r="F729" i="37" s="1"/>
  <c r="F728" i="37"/>
  <c r="F727" i="37"/>
  <c r="A720" i="37"/>
  <c r="E720" i="37" s="1"/>
  <c r="A719" i="37"/>
  <c r="G717" i="37"/>
  <c r="C717" i="37"/>
  <c r="C664" i="37"/>
  <c r="C662" i="37"/>
  <c r="G675" i="37"/>
  <c r="C651" i="37"/>
  <c r="B648" i="37"/>
  <c r="B647" i="37"/>
  <c r="A640" i="37"/>
  <c r="E640" i="37" s="1"/>
  <c r="A639" i="37"/>
  <c r="E639" i="37" s="1"/>
  <c r="C623" i="37"/>
  <c r="C612" i="37"/>
  <c r="B609" i="37"/>
  <c r="B608" i="37"/>
  <c r="G582" i="37"/>
  <c r="G577" i="37"/>
  <c r="C596" i="37"/>
  <c r="G571" i="37"/>
  <c r="F568" i="37"/>
  <c r="F567" i="37"/>
  <c r="A560" i="37"/>
  <c r="A600" i="37" s="1"/>
  <c r="E600" i="37" s="1"/>
  <c r="A559" i="37"/>
  <c r="A599" i="37" s="1"/>
  <c r="E599" i="37" s="1"/>
  <c r="G542" i="37"/>
  <c r="C542" i="37"/>
  <c r="G537" i="37"/>
  <c r="C537" i="37"/>
  <c r="G531" i="37"/>
  <c r="C531" i="37"/>
  <c r="F528" i="37"/>
  <c r="B528" i="37"/>
  <c r="F527" i="37"/>
  <c r="B527" i="37"/>
  <c r="G513" i="37"/>
  <c r="G511" i="37"/>
  <c r="G501" i="37"/>
  <c r="C501" i="37"/>
  <c r="G496" i="37"/>
  <c r="C496" i="37"/>
  <c r="G491" i="37"/>
  <c r="C491" i="37"/>
  <c r="F488" i="37"/>
  <c r="B488" i="37"/>
  <c r="F487" i="37"/>
  <c r="B487" i="37"/>
  <c r="A479" i="37"/>
  <c r="A519" i="37" s="1"/>
  <c r="E519" i="37" s="1"/>
  <c r="A478" i="37"/>
  <c r="A518" i="37" s="1"/>
  <c r="E518" i="37" s="1"/>
  <c r="G464" i="37"/>
  <c r="G461" i="37"/>
  <c r="C461" i="37"/>
  <c r="G456" i="37"/>
  <c r="C456" i="37"/>
  <c r="C455" i="37"/>
  <c r="F448" i="37"/>
  <c r="B448" i="37"/>
  <c r="F447" i="37"/>
  <c r="B447" i="37"/>
  <c r="G421" i="37"/>
  <c r="C421" i="37"/>
  <c r="G416" i="37"/>
  <c r="G411" i="37"/>
  <c r="C411" i="37"/>
  <c r="F408" i="37"/>
  <c r="B408" i="37"/>
  <c r="F407" i="37"/>
  <c r="B407" i="37"/>
  <c r="A400" i="37"/>
  <c r="A439" i="37" s="1"/>
  <c r="E439" i="37" s="1"/>
  <c r="A399" i="37"/>
  <c r="A438" i="37" s="1"/>
  <c r="E438" i="37" s="1"/>
  <c r="C381" i="37"/>
  <c r="C371" i="37"/>
  <c r="B368" i="37"/>
  <c r="B367" i="37"/>
  <c r="G341" i="37"/>
  <c r="G336" i="37"/>
  <c r="C354" i="37"/>
  <c r="G331" i="37"/>
  <c r="F328" i="37"/>
  <c r="F327" i="37"/>
  <c r="G302" i="37"/>
  <c r="C302" i="37"/>
  <c r="C300" i="37"/>
  <c r="G297" i="37"/>
  <c r="C297" i="37"/>
  <c r="G296" i="37"/>
  <c r="C296" i="37"/>
  <c r="G292" i="37"/>
  <c r="C292" i="37"/>
  <c r="F289" i="37"/>
  <c r="B289" i="37"/>
  <c r="F288" i="37"/>
  <c r="B288" i="37"/>
  <c r="A280" i="37"/>
  <c r="B320" i="37" s="1"/>
  <c r="F320" i="37" s="1"/>
  <c r="E359" i="37" s="1"/>
  <c r="A279" i="37"/>
  <c r="E279" i="37" s="1"/>
  <c r="C265" i="37"/>
  <c r="C262" i="37"/>
  <c r="C260" i="37"/>
  <c r="C251" i="37"/>
  <c r="B248" i="37"/>
  <c r="B247" i="37"/>
  <c r="G225" i="37"/>
  <c r="C225" i="37"/>
  <c r="G224" i="37"/>
  <c r="G222" i="37"/>
  <c r="C222" i="37"/>
  <c r="G220" i="37"/>
  <c r="C220" i="37"/>
  <c r="G212" i="37"/>
  <c r="C212" i="37"/>
  <c r="F209" i="37"/>
  <c r="B209" i="37"/>
  <c r="F208" i="37"/>
  <c r="B208" i="37"/>
  <c r="A201" i="37"/>
  <c r="A240" i="37" s="1"/>
  <c r="E240" i="37" s="1"/>
  <c r="A200" i="37"/>
  <c r="A239" i="37" s="1"/>
  <c r="E239" i="37" s="1"/>
  <c r="G183" i="37"/>
  <c r="C183" i="37"/>
  <c r="G181" i="37"/>
  <c r="C181" i="37"/>
  <c r="G171" i="37"/>
  <c r="C171" i="37"/>
  <c r="F168" i="37"/>
  <c r="B168" i="37"/>
  <c r="F167" i="37"/>
  <c r="B167" i="37"/>
  <c r="C144" i="37"/>
  <c r="G143" i="37"/>
  <c r="G141" i="37"/>
  <c r="C141" i="37"/>
  <c r="G139" i="37"/>
  <c r="C139" i="37"/>
  <c r="G136" i="37"/>
  <c r="C136" i="37"/>
  <c r="G131" i="37"/>
  <c r="C131" i="37"/>
  <c r="F128" i="37"/>
  <c r="B128" i="37"/>
  <c r="F127" i="37"/>
  <c r="B127" i="37"/>
  <c r="E119" i="37"/>
  <c r="A119" i="37"/>
  <c r="A159" i="37" s="1"/>
  <c r="E159" i="37" s="1"/>
  <c r="E118" i="37"/>
  <c r="A118" i="37"/>
  <c r="A158" i="37" s="1"/>
  <c r="E158" i="37" s="1"/>
  <c r="G104" i="37"/>
  <c r="G101" i="37"/>
  <c r="G99" i="37"/>
  <c r="G96" i="37"/>
  <c r="C114" i="37"/>
  <c r="G91" i="37"/>
  <c r="F88" i="37"/>
  <c r="F87" i="37"/>
  <c r="A77" i="37"/>
  <c r="B799" i="37" s="1"/>
  <c r="A76" i="37"/>
  <c r="E76" i="37" s="1"/>
  <c r="C62" i="37"/>
  <c r="G59" i="37"/>
  <c r="C59" i="37"/>
  <c r="G57" i="37"/>
  <c r="C57" i="37"/>
  <c r="G54" i="37"/>
  <c r="C54" i="37"/>
  <c r="G48" i="37"/>
  <c r="C48" i="37"/>
  <c r="B46" i="37"/>
  <c r="B89" i="37" s="1"/>
  <c r="F89" i="37" s="1"/>
  <c r="F45" i="37"/>
  <c r="B45" i="37"/>
  <c r="F44" i="37"/>
  <c r="B44" i="37"/>
  <c r="E36" i="37"/>
  <c r="E35" i="37"/>
  <c r="G23" i="37"/>
  <c r="G21" i="37"/>
  <c r="C21" i="37"/>
  <c r="G19" i="37"/>
  <c r="C19" i="37"/>
  <c r="G16" i="37"/>
  <c r="C16" i="37"/>
  <c r="G10" i="37"/>
  <c r="C10" i="37"/>
  <c r="B7" i="37"/>
  <c r="F6" i="37"/>
  <c r="B6" i="37"/>
  <c r="R99" i="34"/>
  <c r="Q99" i="34"/>
  <c r="P99" i="34"/>
  <c r="O99" i="34"/>
  <c r="M99" i="34"/>
  <c r="L99" i="34"/>
  <c r="K99" i="34"/>
  <c r="J99" i="34"/>
  <c r="I99" i="34"/>
  <c r="H99" i="34"/>
  <c r="G99" i="34"/>
  <c r="S95" i="34"/>
  <c r="S94" i="34"/>
  <c r="S93" i="34"/>
  <c r="S92" i="34"/>
  <c r="S91" i="34"/>
  <c r="S90" i="34"/>
  <c r="S89" i="34"/>
  <c r="S88" i="34"/>
  <c r="S87" i="34"/>
  <c r="S86" i="34"/>
  <c r="S85" i="34"/>
  <c r="S84" i="34"/>
  <c r="S83" i="34"/>
  <c r="R35" i="34"/>
  <c r="Q35" i="34"/>
  <c r="P35" i="34"/>
  <c r="O35" i="34"/>
  <c r="N35" i="34"/>
  <c r="M35" i="34"/>
  <c r="L35" i="34"/>
  <c r="K35" i="34"/>
  <c r="J35" i="34"/>
  <c r="I35" i="34"/>
  <c r="H35" i="34"/>
  <c r="G35" i="34"/>
  <c r="F35" i="34"/>
  <c r="S34" i="34"/>
  <c r="S33" i="34"/>
  <c r="S32" i="34"/>
  <c r="S31" i="34"/>
  <c r="S30" i="34"/>
  <c r="S29" i="34"/>
  <c r="S28" i="34"/>
  <c r="S26" i="34"/>
  <c r="S25" i="34"/>
  <c r="S24" i="34"/>
  <c r="S23" i="34"/>
  <c r="S22" i="34"/>
  <c r="S21" i="34"/>
  <c r="S20" i="34"/>
  <c r="S19" i="34"/>
  <c r="S18" i="34"/>
  <c r="S17" i="34"/>
  <c r="S16" i="34"/>
  <c r="S15" i="34"/>
  <c r="H78" i="31"/>
  <c r="H23" i="31"/>
  <c r="G31" i="30"/>
  <c r="I31" i="24"/>
  <c r="I32" i="24" s="1"/>
  <c r="H31" i="24"/>
  <c r="H32" i="24" s="1"/>
  <c r="J72" i="20"/>
  <c r="G42" i="40" s="1"/>
  <c r="I72" i="20"/>
  <c r="C859" i="37" s="1"/>
  <c r="J71" i="20"/>
  <c r="G41" i="40" s="1"/>
  <c r="I71" i="20"/>
  <c r="F41" i="40" s="1"/>
  <c r="G820" i="37" s="1"/>
  <c r="J70" i="20"/>
  <c r="G40" i="40" s="1"/>
  <c r="I70" i="20"/>
  <c r="J69" i="20"/>
  <c r="G39" i="40" s="1"/>
  <c r="I69" i="20"/>
  <c r="J68" i="20"/>
  <c r="G38" i="40" s="1"/>
  <c r="I68" i="20"/>
  <c r="F38" i="40" s="1"/>
  <c r="G741" i="37" s="1"/>
  <c r="J67" i="20"/>
  <c r="G37" i="40" s="1"/>
  <c r="I67" i="20"/>
  <c r="F37" i="40" s="1"/>
  <c r="C661" i="37" s="1"/>
  <c r="J66" i="20"/>
  <c r="G36" i="40" s="1"/>
  <c r="I66" i="20"/>
  <c r="J65" i="20"/>
  <c r="G35" i="40" s="1"/>
  <c r="I65" i="20"/>
  <c r="F35" i="40" s="1"/>
  <c r="G581" i="37" s="1"/>
  <c r="J64" i="20"/>
  <c r="G34" i="40" s="1"/>
  <c r="I64" i="20"/>
  <c r="L40" i="20"/>
  <c r="L77" i="20" s="1"/>
  <c r="H40" i="20"/>
  <c r="J39" i="20"/>
  <c r="G33" i="40" s="1"/>
  <c r="I39" i="20"/>
  <c r="J38" i="20"/>
  <c r="G32" i="40" s="1"/>
  <c r="I38" i="20"/>
  <c r="F32" i="40" s="1"/>
  <c r="G500" i="37" s="1"/>
  <c r="J37" i="20"/>
  <c r="G31" i="40" s="1"/>
  <c r="I37" i="20"/>
  <c r="F31" i="40" s="1"/>
  <c r="C500" i="37" s="1"/>
  <c r="J36" i="20"/>
  <c r="G30" i="40" s="1"/>
  <c r="I36" i="20"/>
  <c r="F30" i="40" s="1"/>
  <c r="G460" i="37" s="1"/>
  <c r="J35" i="20"/>
  <c r="G29" i="40" s="1"/>
  <c r="I35" i="20"/>
  <c r="J34" i="20"/>
  <c r="G28" i="40" s="1"/>
  <c r="I34" i="20"/>
  <c r="F28" i="40" s="1"/>
  <c r="G420" i="37" s="1"/>
  <c r="J33" i="20"/>
  <c r="G27" i="40" s="1"/>
  <c r="I33" i="20"/>
  <c r="F27" i="40" s="1"/>
  <c r="J32" i="20"/>
  <c r="G26" i="40" s="1"/>
  <c r="I32" i="20"/>
  <c r="F26" i="40" s="1"/>
  <c r="C380" i="37" s="1"/>
  <c r="J31" i="20"/>
  <c r="G25" i="40" s="1"/>
  <c r="I31" i="20"/>
  <c r="F25" i="40" s="1"/>
  <c r="G340" i="37" s="1"/>
  <c r="J30" i="20"/>
  <c r="G24" i="40" s="1"/>
  <c r="I30" i="20"/>
  <c r="J29" i="20"/>
  <c r="G23" i="40" s="1"/>
  <c r="I29" i="20"/>
  <c r="J27" i="20"/>
  <c r="G21" i="40" s="1"/>
  <c r="I27" i="20"/>
  <c r="F21" i="40" s="1"/>
  <c r="C261" i="37" s="1"/>
  <c r="J26" i="20"/>
  <c r="G20" i="40" s="1"/>
  <c r="I26" i="20"/>
  <c r="F20" i="40" s="1"/>
  <c r="G221" i="37" s="1"/>
  <c r="J25" i="20"/>
  <c r="G19" i="40" s="1"/>
  <c r="I25" i="20"/>
  <c r="F19" i="40" s="1"/>
  <c r="C221" i="37" s="1"/>
  <c r="J24" i="20"/>
  <c r="G18" i="40" s="1"/>
  <c r="I24" i="20"/>
  <c r="J23" i="20"/>
  <c r="G17" i="40" s="1"/>
  <c r="I23" i="20"/>
  <c r="C182" i="37" s="1"/>
  <c r="J22" i="20"/>
  <c r="G16" i="40" s="1"/>
  <c r="I22" i="20"/>
  <c r="F16" i="40" s="1"/>
  <c r="G140" i="37" s="1"/>
  <c r="J21" i="20"/>
  <c r="G15" i="40" s="1"/>
  <c r="I21" i="20"/>
  <c r="J20" i="20"/>
  <c r="G14" i="40" s="1"/>
  <c r="I20" i="20"/>
  <c r="J19" i="20"/>
  <c r="G13" i="40" s="1"/>
  <c r="I19" i="20"/>
  <c r="F13" i="40" s="1"/>
  <c r="G58" i="37" s="1"/>
  <c r="J18" i="20"/>
  <c r="G12" i="40" s="1"/>
  <c r="I18" i="20"/>
  <c r="F12" i="40" s="1"/>
  <c r="C58" i="37" s="1"/>
  <c r="J17" i="20"/>
  <c r="G11" i="40" s="1"/>
  <c r="I17" i="20"/>
  <c r="F11" i="40" s="1"/>
  <c r="J16" i="20"/>
  <c r="G10" i="40" s="1"/>
  <c r="I16" i="20"/>
  <c r="AE46" i="40"/>
  <c r="K27" i="6" s="1"/>
  <c r="AD46" i="40"/>
  <c r="K26" i="6" s="1"/>
  <c r="K25" i="6"/>
  <c r="AA46" i="40"/>
  <c r="J46" i="40"/>
  <c r="R42" i="40"/>
  <c r="Q42" i="40"/>
  <c r="R41" i="40"/>
  <c r="Q41" i="40"/>
  <c r="E41" i="40"/>
  <c r="G810" i="37" s="1"/>
  <c r="R40" i="40"/>
  <c r="Q40" i="40"/>
  <c r="E40" i="40"/>
  <c r="C810" i="37" s="1"/>
  <c r="R39" i="40"/>
  <c r="Q39" i="40"/>
  <c r="E39" i="40"/>
  <c r="Y38" i="40"/>
  <c r="X38" i="40"/>
  <c r="R38" i="40"/>
  <c r="Q38" i="40"/>
  <c r="E38" i="40"/>
  <c r="G730" i="37" s="1"/>
  <c r="Z37" i="40"/>
  <c r="X37" i="40"/>
  <c r="R37" i="40"/>
  <c r="Q37" i="40"/>
  <c r="E37" i="40"/>
  <c r="X36" i="40"/>
  <c r="R36" i="40"/>
  <c r="Q36" i="40"/>
  <c r="E36" i="40"/>
  <c r="C611" i="37" s="1"/>
  <c r="X35" i="40"/>
  <c r="R35" i="40"/>
  <c r="Q35" i="40"/>
  <c r="E35" i="40"/>
  <c r="G570" i="37" s="1"/>
  <c r="X34" i="40"/>
  <c r="R34" i="40"/>
  <c r="Q34" i="40"/>
  <c r="E34" i="40"/>
  <c r="G530" i="37" s="1"/>
  <c r="X33" i="40"/>
  <c r="R33" i="40"/>
  <c r="Q33" i="40"/>
  <c r="E33" i="40"/>
  <c r="C530" i="37" s="1"/>
  <c r="X32" i="40"/>
  <c r="R32" i="40"/>
  <c r="Q32" i="40"/>
  <c r="E32" i="40"/>
  <c r="G490" i="37" s="1"/>
  <c r="X31" i="40"/>
  <c r="R31" i="40"/>
  <c r="Q31" i="40"/>
  <c r="E31" i="40"/>
  <c r="C490" i="37" s="1"/>
  <c r="Y30" i="40"/>
  <c r="X30" i="40"/>
  <c r="R30" i="40"/>
  <c r="Q30" i="40"/>
  <c r="E30" i="40"/>
  <c r="X29" i="40"/>
  <c r="R29" i="40"/>
  <c r="Q29" i="40"/>
  <c r="E29" i="40"/>
  <c r="X28" i="40"/>
  <c r="R28" i="40"/>
  <c r="Q28" i="40"/>
  <c r="E28" i="40"/>
  <c r="R27" i="40"/>
  <c r="Q27" i="40"/>
  <c r="E27" i="40"/>
  <c r="C410" i="37" s="1"/>
  <c r="X26" i="40"/>
  <c r="R26" i="40"/>
  <c r="Q26" i="40"/>
  <c r="E26" i="40"/>
  <c r="X25" i="40"/>
  <c r="R25" i="40"/>
  <c r="Q25" i="40"/>
  <c r="E25" i="40"/>
  <c r="X24" i="40"/>
  <c r="R24" i="40"/>
  <c r="Q24" i="40"/>
  <c r="X23" i="40"/>
  <c r="W23" i="40"/>
  <c r="V23" i="40"/>
  <c r="R23" i="40"/>
  <c r="Q23" i="40"/>
  <c r="E23" i="40"/>
  <c r="Y21" i="40"/>
  <c r="W21" i="40"/>
  <c r="V21" i="40"/>
  <c r="R21" i="40"/>
  <c r="Q21" i="40"/>
  <c r="E21" i="40"/>
  <c r="C250" i="37" s="1"/>
  <c r="Z20" i="40"/>
  <c r="Y20" i="40"/>
  <c r="X20" i="40"/>
  <c r="W20" i="40"/>
  <c r="V20" i="40"/>
  <c r="R20" i="40"/>
  <c r="Q20" i="40"/>
  <c r="E20" i="40"/>
  <c r="G211" i="37" s="1"/>
  <c r="Y19" i="40"/>
  <c r="W19" i="40"/>
  <c r="V19" i="40"/>
  <c r="R19" i="40"/>
  <c r="Q19" i="40"/>
  <c r="E19" i="40"/>
  <c r="W18" i="40"/>
  <c r="V18" i="40"/>
  <c r="R18" i="40"/>
  <c r="Q18" i="40"/>
  <c r="E18" i="40"/>
  <c r="W17" i="40"/>
  <c r="V17" i="40"/>
  <c r="R17" i="40"/>
  <c r="Q17" i="40"/>
  <c r="E17" i="40"/>
  <c r="C170" i="37" s="1"/>
  <c r="Z16" i="40"/>
  <c r="X16" i="40"/>
  <c r="W16" i="40"/>
  <c r="V16" i="40"/>
  <c r="R16" i="40"/>
  <c r="Q16" i="40"/>
  <c r="E16" i="40"/>
  <c r="G130" i="37" s="1"/>
  <c r="Y15" i="40"/>
  <c r="X15" i="40"/>
  <c r="W15" i="40"/>
  <c r="V15" i="40"/>
  <c r="R15" i="40"/>
  <c r="Q15" i="40"/>
  <c r="E15" i="40"/>
  <c r="Y14" i="40"/>
  <c r="X14" i="40"/>
  <c r="W14" i="40"/>
  <c r="V14" i="40"/>
  <c r="R14" i="40"/>
  <c r="Q14" i="40"/>
  <c r="E14" i="40"/>
  <c r="X13" i="40"/>
  <c r="W13" i="40"/>
  <c r="V13" i="40"/>
  <c r="R13" i="40"/>
  <c r="Q13" i="40"/>
  <c r="E13" i="40"/>
  <c r="Y12" i="40"/>
  <c r="X12" i="40"/>
  <c r="W12" i="40"/>
  <c r="V12" i="40"/>
  <c r="R12" i="40"/>
  <c r="Q12" i="40"/>
  <c r="E12" i="40"/>
  <c r="Y11" i="40"/>
  <c r="X11" i="40"/>
  <c r="W11" i="40"/>
  <c r="V11" i="40"/>
  <c r="T46" i="40"/>
  <c r="R11" i="40"/>
  <c r="Q11" i="40"/>
  <c r="E11" i="40"/>
  <c r="G9" i="37" s="1"/>
  <c r="X10" i="40"/>
  <c r="W10" i="40"/>
  <c r="V10" i="40"/>
  <c r="S46" i="40"/>
  <c r="R10" i="40"/>
  <c r="Q10" i="40"/>
  <c r="E10" i="40"/>
  <c r="C9" i="37" s="1"/>
  <c r="P152" i="5"/>
  <c r="P91" i="5"/>
  <c r="S35" i="5"/>
  <c r="R33" i="5"/>
  <c r="S32" i="5"/>
  <c r="Q32" i="5"/>
  <c r="S20" i="5"/>
  <c r="E478" i="37" l="1"/>
  <c r="E560" i="37"/>
  <c r="E400" i="37"/>
  <c r="E719" i="37"/>
  <c r="E759" i="37" s="1"/>
  <c r="A759" i="37"/>
  <c r="E399" i="37"/>
  <c r="E479" i="37"/>
  <c r="E559" i="37"/>
  <c r="E77" i="37"/>
  <c r="E760" i="37" s="1"/>
  <c r="A680" i="37"/>
  <c r="E680" i="37" s="1"/>
  <c r="A679" i="37"/>
  <c r="E679" i="37" s="1"/>
  <c r="A760" i="37"/>
  <c r="E200" i="37"/>
  <c r="E280" i="37"/>
  <c r="E201" i="37"/>
  <c r="J76" i="20"/>
  <c r="F34" i="40"/>
  <c r="G541" i="37" s="1"/>
  <c r="I76" i="20"/>
  <c r="E46" i="40"/>
  <c r="W46" i="40"/>
  <c r="V46" i="40"/>
  <c r="Z46" i="40"/>
  <c r="Q46" i="40"/>
  <c r="R46" i="40"/>
  <c r="X46" i="40"/>
  <c r="F24" i="40"/>
  <c r="G301" i="37"/>
  <c r="G226" i="37"/>
  <c r="G235" i="37" s="1"/>
  <c r="G236" i="37" s="1"/>
  <c r="AB20" i="40"/>
  <c r="AF20" i="40" s="1"/>
  <c r="G546" i="37"/>
  <c r="AB34" i="40"/>
  <c r="AF34" i="40" s="1"/>
  <c r="C187" i="37"/>
  <c r="C196" i="37" s="1"/>
  <c r="C197" i="37" s="1"/>
  <c r="AB17" i="40"/>
  <c r="G24" i="37"/>
  <c r="AB11" i="40"/>
  <c r="AF11" i="40" s="1"/>
  <c r="C145" i="37"/>
  <c r="AB15" i="40"/>
  <c r="C226" i="37"/>
  <c r="C235" i="37" s="1"/>
  <c r="AB19" i="40"/>
  <c r="AF19" i="40" s="1"/>
  <c r="C306" i="37"/>
  <c r="AB23" i="40"/>
  <c r="C546" i="37"/>
  <c r="AB33" i="40"/>
  <c r="C666" i="37"/>
  <c r="C675" i="37" s="1"/>
  <c r="AB37" i="40"/>
  <c r="AF37" i="40" s="1"/>
  <c r="G825" i="37"/>
  <c r="G834" i="37" s="1"/>
  <c r="G835" i="37" s="1"/>
  <c r="AB41" i="40"/>
  <c r="AF41" i="40" s="1"/>
  <c r="G145" i="37"/>
  <c r="G154" i="37" s="1"/>
  <c r="G155" i="37" s="1"/>
  <c r="AB16" i="40"/>
  <c r="AF16" i="40" s="1"/>
  <c r="C425" i="37"/>
  <c r="AB27" i="40"/>
  <c r="AF27" i="40" s="1"/>
  <c r="G746" i="37"/>
  <c r="G755" i="37" s="1"/>
  <c r="G756" i="37" s="1"/>
  <c r="AB38" i="40"/>
  <c r="G63" i="37"/>
  <c r="G72" i="37" s="1"/>
  <c r="AB13" i="40"/>
  <c r="AF13" i="40" s="1"/>
  <c r="G345" i="37"/>
  <c r="G354" i="37" s="1"/>
  <c r="AB25" i="40"/>
  <c r="AF25" i="40" s="1"/>
  <c r="G425" i="37"/>
  <c r="G434" i="37" s="1"/>
  <c r="AB28" i="40"/>
  <c r="AF28" i="40" s="1"/>
  <c r="C505" i="37"/>
  <c r="C514" i="37" s="1"/>
  <c r="C515" i="37" s="1"/>
  <c r="AB31" i="40"/>
  <c r="AF31" i="40" s="1"/>
  <c r="G586" i="37"/>
  <c r="G596" i="37" s="1"/>
  <c r="G597" i="37" s="1"/>
  <c r="AB35" i="40"/>
  <c r="AF35" i="40" s="1"/>
  <c r="G785" i="37"/>
  <c r="AB39" i="40"/>
  <c r="C63" i="37"/>
  <c r="C72" i="37" s="1"/>
  <c r="AB12" i="40"/>
  <c r="AF12" i="40" s="1"/>
  <c r="G306" i="37"/>
  <c r="AB24" i="40"/>
  <c r="G465" i="37"/>
  <c r="G474" i="37" s="1"/>
  <c r="AB30" i="40"/>
  <c r="AF30" i="40" s="1"/>
  <c r="C864" i="37"/>
  <c r="C873" i="37" s="1"/>
  <c r="AB42" i="40"/>
  <c r="C266" i="37"/>
  <c r="C275" i="37" s="1"/>
  <c r="C276" i="37" s="1"/>
  <c r="AB21" i="40"/>
  <c r="AF21" i="40" s="1"/>
  <c r="C24" i="37"/>
  <c r="AB10" i="40"/>
  <c r="G105" i="37"/>
  <c r="AB14" i="40"/>
  <c r="G187" i="37"/>
  <c r="AB18" i="40"/>
  <c r="C385" i="37"/>
  <c r="C395" i="37" s="1"/>
  <c r="AB26" i="40"/>
  <c r="AF26" i="40" s="1"/>
  <c r="C465" i="37"/>
  <c r="AB29" i="40"/>
  <c r="G505" i="37"/>
  <c r="G514" i="37" s="1"/>
  <c r="G515" i="37" s="1"/>
  <c r="AB32" i="40"/>
  <c r="AF32" i="40" s="1"/>
  <c r="C627" i="37"/>
  <c r="AB36" i="40"/>
  <c r="C825" i="37"/>
  <c r="AB40" i="40"/>
  <c r="F42" i="40"/>
  <c r="C597" i="37"/>
  <c r="B769" i="37"/>
  <c r="B809" i="37" s="1"/>
  <c r="B848" i="37" s="1"/>
  <c r="F849" i="37" s="1"/>
  <c r="B889" i="37" s="1"/>
  <c r="F890" i="37" s="1"/>
  <c r="F46" i="37"/>
  <c r="G676" i="37"/>
  <c r="C115" i="37"/>
  <c r="C355" i="37"/>
  <c r="B129" i="37"/>
  <c r="G636" i="37"/>
  <c r="G637" i="37" s="1"/>
  <c r="C756" i="37"/>
  <c r="F101" i="34"/>
  <c r="J101" i="34"/>
  <c r="N101" i="34"/>
  <c r="R101" i="34"/>
  <c r="G101" i="34"/>
  <c r="K101" i="34"/>
  <c r="O101" i="34"/>
  <c r="H101" i="34"/>
  <c r="L101" i="34"/>
  <c r="P101" i="34"/>
  <c r="S99" i="34"/>
  <c r="I101" i="34"/>
  <c r="M101" i="34"/>
  <c r="Q101" i="34"/>
  <c r="S35" i="34"/>
  <c r="Y46" i="40"/>
  <c r="C794" i="37"/>
  <c r="C795" i="37" s="1"/>
  <c r="M69" i="24"/>
  <c r="H70" i="24"/>
  <c r="I70" i="24"/>
  <c r="K21" i="6" s="1"/>
  <c r="F17" i="40"/>
  <c r="I40" i="20"/>
  <c r="H77" i="20"/>
  <c r="P46" i="40"/>
  <c r="I46" i="40"/>
  <c r="G90" i="37"/>
  <c r="C47" i="37"/>
  <c r="G450" i="37"/>
  <c r="G770" i="37"/>
  <c r="G395" i="37"/>
  <c r="G396" i="37" s="1"/>
  <c r="C130" i="37"/>
  <c r="C211" i="37"/>
  <c r="C849" i="37"/>
  <c r="C20" i="37"/>
  <c r="F10" i="40"/>
  <c r="F23" i="40"/>
  <c r="F33" i="40"/>
  <c r="C541" i="37" s="1"/>
  <c r="F36" i="40"/>
  <c r="F39" i="40"/>
  <c r="G780" i="37" s="1"/>
  <c r="C650" i="37"/>
  <c r="J40" i="20"/>
  <c r="G47" i="37"/>
  <c r="G170" i="37"/>
  <c r="C301" i="37"/>
  <c r="C420" i="37"/>
  <c r="C450" i="37"/>
  <c r="F18" i="40"/>
  <c r="G182" i="37" s="1"/>
  <c r="G330" i="37"/>
  <c r="N46" i="40"/>
  <c r="F15" i="40"/>
  <c r="C140" i="37" s="1"/>
  <c r="K46" i="40"/>
  <c r="O46" i="40"/>
  <c r="K23" i="6"/>
  <c r="C291" i="37"/>
  <c r="G291" i="37"/>
  <c r="C370" i="37"/>
  <c r="F14" i="40"/>
  <c r="G100" i="37" s="1"/>
  <c r="F29" i="40"/>
  <c r="C460" i="37" s="1"/>
  <c r="F40" i="40"/>
  <c r="G20" i="37"/>
  <c r="G410" i="37"/>
  <c r="E798" i="37" l="1"/>
  <c r="A798" i="37"/>
  <c r="A838" i="37" s="1"/>
  <c r="E838" i="37" s="1"/>
  <c r="A877" i="37" s="1"/>
  <c r="E878" i="37" s="1"/>
  <c r="A918" i="37" s="1"/>
  <c r="E919" i="37" s="1"/>
  <c r="G555" i="37"/>
  <c r="G556" i="37" s="1"/>
  <c r="G315" i="37"/>
  <c r="G316" i="37" s="1"/>
  <c r="G794" i="37"/>
  <c r="G795" i="37" s="1"/>
  <c r="AF29" i="40"/>
  <c r="AF36" i="40"/>
  <c r="AF18" i="40"/>
  <c r="AF10" i="40"/>
  <c r="AF42" i="40"/>
  <c r="AF24" i="40"/>
  <c r="AF39" i="40"/>
  <c r="AF23" i="40"/>
  <c r="AF15" i="40"/>
  <c r="AF17" i="40"/>
  <c r="AF40" i="40"/>
  <c r="AF14" i="40"/>
  <c r="AF33" i="40"/>
  <c r="F46" i="40"/>
  <c r="G46" i="40"/>
  <c r="K20" i="6" s="1"/>
  <c r="C474" i="37"/>
  <c r="C475" i="37" s="1"/>
  <c r="G32" i="37"/>
  <c r="G33" i="37" s="1"/>
  <c r="AF38" i="40"/>
  <c r="AB46" i="40"/>
  <c r="C32" i="37"/>
  <c r="C33" i="37" s="1"/>
  <c r="C154" i="37"/>
  <c r="C155" i="37" s="1"/>
  <c r="G196" i="37"/>
  <c r="G197" i="37" s="1"/>
  <c r="C315" i="37"/>
  <c r="C316" i="37" s="1"/>
  <c r="F769" i="37"/>
  <c r="C555" i="37"/>
  <c r="C556" i="37" s="1"/>
  <c r="C434" i="37"/>
  <c r="C435" i="37" s="1"/>
  <c r="G114" i="37"/>
  <c r="G115" i="37" s="1"/>
  <c r="F809" i="37"/>
  <c r="B169" i="37"/>
  <c r="F129" i="37"/>
  <c r="I77" i="20"/>
  <c r="S101" i="34"/>
  <c r="C874" i="37"/>
  <c r="M70" i="24"/>
  <c r="G355" i="37"/>
  <c r="C396" i="37"/>
  <c r="G73" i="37"/>
  <c r="G435" i="37"/>
  <c r="C73" i="37"/>
  <c r="J77" i="20"/>
  <c r="C676" i="37"/>
  <c r="K19" i="6"/>
  <c r="C622" i="37"/>
  <c r="C636" i="37" s="1"/>
  <c r="C637" i="37" s="1"/>
  <c r="C236" i="37"/>
  <c r="C820" i="37"/>
  <c r="C834" i="37" s="1"/>
  <c r="C835" i="37" s="1"/>
  <c r="G275" i="37"/>
  <c r="G276" i="37" s="1"/>
  <c r="S40" i="20"/>
  <c r="G475" i="37"/>
  <c r="AF46" i="40" l="1"/>
  <c r="P19" i="5" s="1"/>
  <c r="B210" i="37"/>
  <c r="F169" i="37"/>
  <c r="K31" i="6"/>
  <c r="S77" i="20"/>
  <c r="P34" i="5" l="1"/>
  <c r="B249" i="37"/>
  <c r="F210" i="37"/>
  <c r="B290" i="37" l="1"/>
  <c r="F249" i="37"/>
  <c r="F290" i="37" l="1"/>
  <c r="B329" i="37"/>
  <c r="F329" i="37" l="1"/>
  <c r="B369" i="37"/>
  <c r="F369" i="37" l="1"/>
  <c r="B409" i="37"/>
  <c r="F409" i="37" l="1"/>
  <c r="B449" i="37"/>
  <c r="B489" i="37" l="1"/>
  <c r="F449" i="37"/>
  <c r="B529" i="37" l="1"/>
  <c r="F489" i="37"/>
  <c r="F529" i="37" l="1"/>
  <c r="B569" i="37"/>
  <c r="F569" i="37" l="1"/>
  <c r="B610" i="37"/>
  <c r="F610" i="37" l="1"/>
  <c r="B649" i="37"/>
  <c r="B690" i="37" l="1"/>
  <c r="F649" i="37"/>
  <c r="F690" i="37" l="1"/>
</calcChain>
</file>

<file path=xl/sharedStrings.xml><?xml version="1.0" encoding="utf-8"?>
<sst xmlns="http://schemas.openxmlformats.org/spreadsheetml/2006/main" count="3029" uniqueCount="714">
  <si>
    <t>Republic of the Philippines</t>
  </si>
  <si>
    <t>PROVINCE OF CAMARINES NORTE</t>
  </si>
  <si>
    <t>OBLIGATION REQUEST</t>
  </si>
  <si>
    <t>Payee</t>
  </si>
  <si>
    <t>ALMIRANTE A. ABAD &amp; CO.</t>
  </si>
  <si>
    <t>Office</t>
  </si>
  <si>
    <t>Provincial Agriculturist Office</t>
  </si>
  <si>
    <t>Address</t>
  </si>
  <si>
    <t>DAET, CAMS. NORTE</t>
  </si>
  <si>
    <t>Responsibility</t>
  </si>
  <si>
    <t>Particulars</t>
  </si>
  <si>
    <t>F.P.P.</t>
  </si>
  <si>
    <t>New Account</t>
  </si>
  <si>
    <t>Amount</t>
  </si>
  <si>
    <t>Center</t>
  </si>
  <si>
    <t>Code</t>
  </si>
  <si>
    <t xml:space="preserve">SALARY FOR THE MONTH OF </t>
  </si>
  <si>
    <t>01</t>
  </si>
  <si>
    <t>010</t>
  </si>
  <si>
    <t>SALARY</t>
  </si>
  <si>
    <t>03</t>
  </si>
  <si>
    <t>GSIS</t>
  </si>
  <si>
    <t xml:space="preserve"> </t>
  </si>
  <si>
    <t>020</t>
  </si>
  <si>
    <t>PAGIBIG</t>
  </si>
  <si>
    <t>030</t>
  </si>
  <si>
    <t>PHILHEALTH</t>
  </si>
  <si>
    <t>040</t>
  </si>
  <si>
    <t>EC</t>
  </si>
  <si>
    <t>02</t>
  </si>
  <si>
    <t>PERA</t>
  </si>
  <si>
    <t>RA</t>
  </si>
  <si>
    <t>5</t>
  </si>
  <si>
    <t>TA</t>
  </si>
  <si>
    <t>A. Certified</t>
  </si>
  <si>
    <t>B. Certified</t>
  </si>
  <si>
    <t>Charges to budget necessary,</t>
  </si>
  <si>
    <t>lawful and under my direct</t>
  </si>
  <si>
    <t>Existence of available appropriation</t>
  </si>
  <si>
    <t>supervision</t>
  </si>
  <si>
    <t>Supporting documents valid,</t>
  </si>
  <si>
    <t>proper and legal</t>
  </si>
  <si>
    <t>ALMIRANTE A. ABAD</t>
  </si>
  <si>
    <t>MERCEDES M. ALFUERTE</t>
  </si>
  <si>
    <t>PROVINCIAL AGRICULTURIST</t>
  </si>
  <si>
    <t xml:space="preserve"> Provincial Budget Officer</t>
  </si>
  <si>
    <t>Date: ____________________</t>
  </si>
  <si>
    <t>____________________________</t>
  </si>
  <si>
    <t>Date</t>
  </si>
  <si>
    <t>DISBURSEMENT VOUCHER</t>
  </si>
  <si>
    <t>No.</t>
  </si>
  <si>
    <t>Mode of</t>
  </si>
  <si>
    <t>Check</t>
  </si>
  <si>
    <t>Cash</t>
  </si>
  <si>
    <t>Others</t>
  </si>
  <si>
    <t>Payment</t>
  </si>
  <si>
    <t>TIN/Employee No.</t>
  </si>
  <si>
    <t>Obligation Request No.</t>
  </si>
  <si>
    <t>Responsibility Center</t>
  </si>
  <si>
    <t>Daet, Cams. Norte</t>
  </si>
  <si>
    <t>Office/Unit/Project</t>
  </si>
  <si>
    <t>OPAG</t>
  </si>
  <si>
    <t>E X P L A N A T I O N</t>
  </si>
  <si>
    <t>AMOUNT</t>
  </si>
  <si>
    <t>as per  supporting papers hereto attached IN THE AMOUNT OF …..</t>
  </si>
  <si>
    <t xml:space="preserve">  </t>
  </si>
  <si>
    <t>P</t>
  </si>
  <si>
    <t>Allotment obligated for the purpose as</t>
  </si>
  <si>
    <t>Funds Available</t>
  </si>
  <si>
    <t>indicated above</t>
  </si>
  <si>
    <t>Supporting documents complete</t>
  </si>
  <si>
    <t>IMELDA M. FLORES</t>
  </si>
  <si>
    <t>DANTE E. MANLAPAZ</t>
  </si>
  <si>
    <t>Provincial Accountant</t>
  </si>
  <si>
    <t xml:space="preserve"> Provincial Treasurer</t>
  </si>
  <si>
    <t>C. Approved for Payment</t>
  </si>
  <si>
    <t>D. Received Payment</t>
  </si>
  <si>
    <t>Check No.</t>
  </si>
  <si>
    <t>Bank Name</t>
  </si>
  <si>
    <t>Signature</t>
  </si>
  <si>
    <t>Printed Name</t>
  </si>
  <si>
    <t>OR/Other Documents</t>
  </si>
  <si>
    <t>JEV</t>
  </si>
  <si>
    <t>SUSANA R. CERENO</t>
  </si>
  <si>
    <t>Daet, Camarines Norte</t>
  </si>
  <si>
    <t>APTC</t>
  </si>
  <si>
    <t xml:space="preserve">          Payment to the above creditor for payment of SALARIES</t>
  </si>
  <si>
    <t>Replenishment of Petty Cash Fund for the Operation of Agri Pinoy</t>
  </si>
  <si>
    <t>Trading Center (APTC) for the period of November 19-24, 2018</t>
  </si>
  <si>
    <t>as per supporting papers attached hereto amounting to</t>
  </si>
  <si>
    <t>Total Disbursement ……….                155,089.51</t>
  </si>
  <si>
    <t>Less:</t>
  </si>
  <si>
    <t xml:space="preserve">Entrance Fee     ...   </t>
  </si>
  <si>
    <t>Total</t>
  </si>
  <si>
    <t>ڤ</t>
  </si>
  <si>
    <t>MARIO T. DELA CRUZ</t>
  </si>
  <si>
    <t>OIC-Provincial Accountant</t>
  </si>
  <si>
    <t>Acting Provincial Treasurer</t>
  </si>
  <si>
    <t>EDGARDO A. TALLADO</t>
  </si>
  <si>
    <t xml:space="preserve">             Governor</t>
  </si>
  <si>
    <t>PROVINCIAL PAYROLL</t>
  </si>
  <si>
    <t>Number</t>
  </si>
  <si>
    <t xml:space="preserve">   D     E     D     U     C      T      I      O     N      S</t>
  </si>
  <si>
    <t>G S I S</t>
  </si>
  <si>
    <t>PAG-IBIG</t>
  </si>
  <si>
    <t>Philhealth</t>
  </si>
  <si>
    <t xml:space="preserve"> C N G W M P C</t>
  </si>
  <si>
    <t>*POLICY</t>
  </si>
  <si>
    <t>NAME</t>
  </si>
  <si>
    <t>DESIGNATION</t>
  </si>
  <si>
    <t>Life &amp; Retirement</t>
  </si>
  <si>
    <t>PNB</t>
  </si>
  <si>
    <t>Paid in Cash</t>
  </si>
  <si>
    <t>Personal</t>
  </si>
  <si>
    <t>Govt</t>
  </si>
  <si>
    <t xml:space="preserve">Real Estate </t>
  </si>
  <si>
    <t>Conso</t>
  </si>
  <si>
    <t>Emergency</t>
  </si>
  <si>
    <t>COMPUTER</t>
  </si>
  <si>
    <t>Reg</t>
  </si>
  <si>
    <t xml:space="preserve">Gov't </t>
  </si>
  <si>
    <t>Multi-Purpose</t>
  </si>
  <si>
    <t>Calamity</t>
  </si>
  <si>
    <t>Withholding</t>
  </si>
  <si>
    <t>DBP</t>
  </si>
  <si>
    <t>LBP</t>
  </si>
  <si>
    <t>SAVINGS</t>
  </si>
  <si>
    <t>Coop</t>
  </si>
  <si>
    <t>CALAMITY</t>
  </si>
  <si>
    <t>COMMODITY</t>
  </si>
  <si>
    <t>(Cr.   A-1)</t>
  </si>
  <si>
    <t>EMPLOYEE</t>
  </si>
  <si>
    <t>Share</t>
  </si>
  <si>
    <t>Loan</t>
  </si>
  <si>
    <t>MPL</t>
  </si>
  <si>
    <t>MPL LITE</t>
  </si>
  <si>
    <t>GFAL</t>
  </si>
  <si>
    <t>LOAN</t>
  </si>
  <si>
    <t>Policy</t>
  </si>
  <si>
    <t>savings</t>
  </si>
  <si>
    <t>Tax</t>
  </si>
  <si>
    <t xml:space="preserve"> Loan</t>
  </si>
  <si>
    <t>SHARE</t>
  </si>
  <si>
    <t>CODE</t>
  </si>
  <si>
    <t>2</t>
  </si>
  <si>
    <t>3</t>
  </si>
  <si>
    <t>6</t>
  </si>
  <si>
    <t>7</t>
  </si>
  <si>
    <t>8</t>
  </si>
  <si>
    <t>9</t>
  </si>
  <si>
    <t>10</t>
  </si>
  <si>
    <t>11</t>
  </si>
  <si>
    <t>12</t>
  </si>
  <si>
    <t>13</t>
  </si>
  <si>
    <t>14</t>
  </si>
  <si>
    <t>15</t>
  </si>
  <si>
    <t>16</t>
  </si>
  <si>
    <t>24</t>
  </si>
  <si>
    <t>28</t>
  </si>
  <si>
    <t>40</t>
  </si>
  <si>
    <t>41</t>
  </si>
  <si>
    <t>42</t>
  </si>
  <si>
    <t>8711.0-001</t>
  </si>
  <si>
    <t>PA</t>
  </si>
  <si>
    <t>8711.0-002</t>
  </si>
  <si>
    <t>RAPHY B. BELARDO</t>
  </si>
  <si>
    <t>POIV</t>
  </si>
  <si>
    <t>8711.0-004</t>
  </si>
  <si>
    <t>MARIA GISELA C. NASOL</t>
  </si>
  <si>
    <t>POII</t>
  </si>
  <si>
    <t>8711.0-005</t>
  </si>
  <si>
    <t>MARLENE V. CERENO</t>
  </si>
  <si>
    <t>8711.0-007</t>
  </si>
  <si>
    <t>MELINDA R. BARCELONA</t>
  </si>
  <si>
    <t xml:space="preserve">AO V </t>
  </si>
  <si>
    <t>8711.0-008</t>
  </si>
  <si>
    <t>ELNORA B. OBUSAN</t>
  </si>
  <si>
    <t>COIV</t>
  </si>
  <si>
    <t>8711.0-009</t>
  </si>
  <si>
    <t>EDWIN V. DE JESUS</t>
  </si>
  <si>
    <t>AQII</t>
  </si>
  <si>
    <t>8711.0-010</t>
  </si>
  <si>
    <t>GLENDA M. MAGANA</t>
  </si>
  <si>
    <t xml:space="preserve">AA IV </t>
  </si>
  <si>
    <t>8711.0-011</t>
  </si>
  <si>
    <t>PEDRO S. VELACRUZ III</t>
  </si>
  <si>
    <t>PS</t>
  </si>
  <si>
    <t>8711.0-012</t>
  </si>
  <si>
    <t>SALLY R. ARCIGA</t>
  </si>
  <si>
    <t>AA III</t>
  </si>
  <si>
    <t>8711.0-013</t>
  </si>
  <si>
    <t>MACK LENNON G. QUIBRAL</t>
  </si>
  <si>
    <t>AT</t>
  </si>
  <si>
    <t>8711.0-051</t>
  </si>
  <si>
    <t>GEMMA S. JAUCIAN</t>
  </si>
  <si>
    <t>BIII</t>
  </si>
  <si>
    <t>8711.0-016</t>
  </si>
  <si>
    <t>SANTIAGO G. MALALUAN</t>
  </si>
  <si>
    <t>AGII</t>
  </si>
  <si>
    <t>8711.0-017</t>
  </si>
  <si>
    <t>CELESTE M. SALVANERA</t>
  </si>
  <si>
    <t xml:space="preserve">SR AG </t>
  </si>
  <si>
    <t>8711.0-021</t>
  </si>
  <si>
    <t>ALGEM MARIE J. CLACIO</t>
  </si>
  <si>
    <t>8711.0-052</t>
  </si>
  <si>
    <t>CHRISTINE L. PALAD</t>
  </si>
  <si>
    <t>SA</t>
  </si>
  <si>
    <t>8711.0-026</t>
  </si>
  <si>
    <t>CESAR R. MIRAÑA</t>
  </si>
  <si>
    <t>SR AG</t>
  </si>
  <si>
    <t>8711.0-025</t>
  </si>
  <si>
    <t>BRENDA R. MENESES</t>
  </si>
  <si>
    <t>AG II</t>
  </si>
  <si>
    <t>8711.0-027</t>
  </si>
  <si>
    <t>RONNIE R. ASIS</t>
  </si>
  <si>
    <t>8711.0-028</t>
  </si>
  <si>
    <t>RYAN I. VILLAFLORES</t>
  </si>
  <si>
    <t>8711.0-019</t>
  </si>
  <si>
    <t>ROWIL B. DIAZ</t>
  </si>
  <si>
    <t>8711.0-040</t>
  </si>
  <si>
    <t>ADOR T. SANCHEZ</t>
  </si>
  <si>
    <t>8711.0-049</t>
  </si>
  <si>
    <t>JAY Q. CANARIA</t>
  </si>
  <si>
    <t>8711.0-003</t>
  </si>
  <si>
    <t>MELINDA L. JEREZ</t>
  </si>
  <si>
    <t>8711.0-043</t>
  </si>
  <si>
    <t>RAUL M. CARRIDO</t>
  </si>
  <si>
    <t>AQ II</t>
  </si>
  <si>
    <t>8711.0-044</t>
  </si>
  <si>
    <t>ROWENA V. RAMOS</t>
  </si>
  <si>
    <t>8711.0-048</t>
  </si>
  <si>
    <t>DESIREE J. RODRIGUEZ</t>
  </si>
  <si>
    <t>8711.0-036</t>
  </si>
  <si>
    <t>ISAIAS R. BURAC</t>
  </si>
  <si>
    <t>8711.0-042</t>
  </si>
  <si>
    <t>EFREN D. BALANG</t>
  </si>
  <si>
    <t>8711.0-046</t>
  </si>
  <si>
    <t>GERRY Y. ECHANO</t>
  </si>
  <si>
    <t>8711.0-047</t>
  </si>
  <si>
    <t>RIZALDO T. BAGASBAS</t>
  </si>
  <si>
    <t>FW II</t>
  </si>
  <si>
    <t>HELEN R. QUIJANO</t>
  </si>
  <si>
    <t>AAAIII</t>
  </si>
  <si>
    <t xml:space="preserve">       (2) APPROVED  for payment subject to preaudit:</t>
  </si>
  <si>
    <t>Reviewed as to attached dtr and approved leave:</t>
  </si>
  <si>
    <t>(5) I HEREBY CERTIFY on my official oath that I  have paid in cash to each official and</t>
  </si>
  <si>
    <t>IMELDA M. FLORES, - Provl. Accountant</t>
  </si>
  <si>
    <t xml:space="preserve">                 employee whose name appears on  the above roll the amount set opposite his name, under</t>
  </si>
  <si>
    <t>Prepared by:</t>
  </si>
  <si>
    <t xml:space="preserve">                 column 21, he having signed or marked  his name  under column  24 above, in my presence </t>
  </si>
  <si>
    <t xml:space="preserve">      (3) Preaudited and approved for payment in the month of</t>
  </si>
  <si>
    <t xml:space="preserve">            and at  the time that payment was made to him, in acknowledgement of receipt of the money </t>
  </si>
  <si>
    <t>State Auditor IV</t>
  </si>
  <si>
    <t xml:space="preserve">                                     MELINDA R. BARCELONA</t>
  </si>
  <si>
    <t xml:space="preserve">             paid him.</t>
  </si>
  <si>
    <t xml:space="preserve">                                                                                   Payroll Clerk</t>
  </si>
  <si>
    <t>MAGDALENA B. TOLEDANA</t>
  </si>
  <si>
    <t>PHRMO</t>
  </si>
  <si>
    <t xml:space="preserve">          (6) I HEREBY CERTIFY on my official oath that each employee whose name appears on the </t>
  </si>
  <si>
    <t>the above roll has been paid in cash or in check, and in no other mode, the amount shown under</t>
  </si>
  <si>
    <t>column 21 above, opposite his name. The total of the payments made by means this pay.</t>
  </si>
  <si>
    <t>Provincial Agriculturist</t>
  </si>
  <si>
    <t>CERTIFIED:</t>
  </si>
  <si>
    <t>I HEREBY CERTIFY on my official oath that the above PAYROLL is correct and that services above stated have been duly rendered. Payment for such services is also hereby approved from the appropriation indicated</t>
  </si>
  <si>
    <t>CERTIFIED CORRECT AS PER APPROVED APPOINTMENT &amp; SALARY RATE:</t>
  </si>
  <si>
    <t>Approved for payment:</t>
  </si>
  <si>
    <t>Each person whose name appear on the above roll has been paid the amount stated opposite his name after identifying him.</t>
  </si>
  <si>
    <t>Provincial Human Resource Management Officer</t>
  </si>
  <si>
    <t>Name and Signature of Disbursing Officer</t>
  </si>
  <si>
    <t>NAME OF EMPLOYEE</t>
  </si>
  <si>
    <t>POLICY</t>
  </si>
  <si>
    <t>NUMBER</t>
  </si>
  <si>
    <t>GS</t>
  </si>
  <si>
    <t>TOTAL</t>
  </si>
  <si>
    <t xml:space="preserve"> ABAD</t>
  </si>
  <si>
    <t>ALMIRANTE</t>
  </si>
  <si>
    <t>BELARDO</t>
  </si>
  <si>
    <t>RAPHY</t>
  </si>
  <si>
    <t>NASOL</t>
  </si>
  <si>
    <t>MARIA GISELA</t>
  </si>
  <si>
    <t>CERENO</t>
  </si>
  <si>
    <t>MARLENE</t>
  </si>
  <si>
    <t>BARCELONA</t>
  </si>
  <si>
    <t>MELINDA</t>
  </si>
  <si>
    <t>Admin. Officer V</t>
  </si>
  <si>
    <t>OBUSAN</t>
  </si>
  <si>
    <t>ELNORA</t>
  </si>
  <si>
    <t>DE JESUS</t>
  </si>
  <si>
    <t>EDWIN</t>
  </si>
  <si>
    <t>MAGANA</t>
  </si>
  <si>
    <t>GLENDA</t>
  </si>
  <si>
    <t>PEDRO</t>
  </si>
  <si>
    <t>ARCIGA</t>
  </si>
  <si>
    <t>SALLY</t>
  </si>
  <si>
    <t>QUIBRAL</t>
  </si>
  <si>
    <t>MACK LENNON</t>
  </si>
  <si>
    <t>JAUCIAN</t>
  </si>
  <si>
    <t>GEMMA</t>
  </si>
  <si>
    <t>DORIMAN</t>
  </si>
  <si>
    <t>DULCE</t>
  </si>
  <si>
    <t>MALALUAN</t>
  </si>
  <si>
    <t>SANTIAGO</t>
  </si>
  <si>
    <t>SALVANERA</t>
  </si>
  <si>
    <t>CELESTE</t>
  </si>
  <si>
    <t>CLACIO</t>
  </si>
  <si>
    <t>ALGEM MARIE</t>
  </si>
  <si>
    <t>PALAD</t>
  </si>
  <si>
    <t>CHRISTINE</t>
  </si>
  <si>
    <t>MIRAÑA</t>
  </si>
  <si>
    <t>CESAR</t>
  </si>
  <si>
    <t>MENESES</t>
  </si>
  <si>
    <t>BRENDA</t>
  </si>
  <si>
    <t>ASIS</t>
  </si>
  <si>
    <t>RONNIE</t>
  </si>
  <si>
    <t>VILLAFLORES</t>
  </si>
  <si>
    <t>RYAN</t>
  </si>
  <si>
    <t>DIAZ</t>
  </si>
  <si>
    <t>ROWIL</t>
  </si>
  <si>
    <t>SANCHEZ</t>
  </si>
  <si>
    <t>ADOR</t>
  </si>
  <si>
    <t>CANARIA</t>
  </si>
  <si>
    <t>JAY</t>
  </si>
  <si>
    <t>PAGE TOTAL</t>
  </si>
  <si>
    <t>JEREZ</t>
  </si>
  <si>
    <t>CARRIDO</t>
  </si>
  <si>
    <t>RAUL</t>
  </si>
  <si>
    <t>RAMOS</t>
  </si>
  <si>
    <t>ROWENA</t>
  </si>
  <si>
    <t>RODRIGUEZ</t>
  </si>
  <si>
    <t>DESIREE</t>
  </si>
  <si>
    <t>BURAC</t>
  </si>
  <si>
    <t>ISAIAS</t>
  </si>
  <si>
    <t>BALANG</t>
  </si>
  <si>
    <t>EFREN</t>
  </si>
  <si>
    <t>ECHANO</t>
  </si>
  <si>
    <t>GERRY</t>
  </si>
  <si>
    <t>BAGASBAS</t>
  </si>
  <si>
    <t>RIZALDO</t>
  </si>
  <si>
    <t>QUIJANO</t>
  </si>
  <si>
    <t>HELEN</t>
  </si>
  <si>
    <t>Grand Total</t>
  </si>
  <si>
    <t>D a e t</t>
  </si>
  <si>
    <t>OFFICE OF THE PROVINCIAL AGRICULTURIST</t>
  </si>
  <si>
    <t>Administrative Officer V</t>
  </si>
  <si>
    <t>FIRST NAME</t>
  </si>
  <si>
    <t>MIDDLE NAME</t>
  </si>
  <si>
    <t>EMPLOYER</t>
  </si>
  <si>
    <t>ABAD</t>
  </si>
  <si>
    <t>ANDAYA</t>
  </si>
  <si>
    <t>1530-0094-2026</t>
  </si>
  <si>
    <t>1530-0094-1763</t>
  </si>
  <si>
    <t>CENETA</t>
  </si>
  <si>
    <t>1530-0094-2873</t>
  </si>
  <si>
    <t>VALENCIA</t>
  </si>
  <si>
    <t>1210-7742-9143</t>
  </si>
  <si>
    <t>1530-0093-7375</t>
  </si>
  <si>
    <t>BANAL</t>
  </si>
  <si>
    <t>1530-0094-2550</t>
  </si>
  <si>
    <t>VALERIO</t>
  </si>
  <si>
    <t>1210-0494-8719</t>
  </si>
  <si>
    <t>MEDRANO</t>
  </si>
  <si>
    <t>1211-1103-7552</t>
  </si>
  <si>
    <t>SENTIN</t>
  </si>
  <si>
    <t>0502-2892-8211</t>
  </si>
  <si>
    <t>REYES</t>
  </si>
  <si>
    <t>1210-6771-3642</t>
  </si>
  <si>
    <t>GONZALES</t>
  </si>
  <si>
    <t>1212-1574-6170</t>
  </si>
  <si>
    <t>1210-6759-2203</t>
  </si>
  <si>
    <t>DELFINO</t>
  </si>
  <si>
    <t>1530-0093-9273</t>
  </si>
  <si>
    <t>MAGO</t>
  </si>
  <si>
    <t>1530-0094-3431</t>
  </si>
  <si>
    <t>1211-6779-8483</t>
  </si>
  <si>
    <t>LOBOS</t>
  </si>
  <si>
    <t>1212-3179-5813</t>
  </si>
  <si>
    <t>DELA CRUZ</t>
  </si>
  <si>
    <t>REMETIR</t>
  </si>
  <si>
    <t>0502-1435-1803</t>
  </si>
  <si>
    <t>RELANO</t>
  </si>
  <si>
    <t>1210-0832-1069</t>
  </si>
  <si>
    <t>RIVERA</t>
  </si>
  <si>
    <t>1530-0094-2849</t>
  </si>
  <si>
    <t>IBANA</t>
  </si>
  <si>
    <t>1211-0797-5538</t>
  </si>
  <si>
    <t>BELANTE</t>
  </si>
  <si>
    <t>1530-0092-6463</t>
  </si>
  <si>
    <t>TERCERO</t>
  </si>
  <si>
    <t>1211-9355-8310</t>
  </si>
  <si>
    <t>QUINITO</t>
  </si>
  <si>
    <t>1210-6456-0488</t>
  </si>
  <si>
    <t>LAGATUZ</t>
  </si>
  <si>
    <t>1530-0093-8928</t>
  </si>
  <si>
    <t>MORENO</t>
  </si>
  <si>
    <t>1530-0002-8136</t>
  </si>
  <si>
    <t>VILLALUNA</t>
  </si>
  <si>
    <t>1530-0011-7259</t>
  </si>
  <si>
    <t>ACERON</t>
  </si>
  <si>
    <t>1211-9826-2326</t>
  </si>
  <si>
    <t>REAMBON</t>
  </si>
  <si>
    <t>1210-3834-2583</t>
  </si>
  <si>
    <t>DE LUNA</t>
  </si>
  <si>
    <t>1211-7136-0076</t>
  </si>
  <si>
    <t>YARTE</t>
  </si>
  <si>
    <t>1211-5136-4975</t>
  </si>
  <si>
    <t>TOLEDANA</t>
  </si>
  <si>
    <t>1211-7962-7864</t>
  </si>
  <si>
    <t>0502-4500-0705</t>
  </si>
  <si>
    <t>Administrative Officer III</t>
  </si>
  <si>
    <t>8711.0-034</t>
  </si>
  <si>
    <t>8711.0-020</t>
  </si>
  <si>
    <t>REMITTANCE STATEMENT FOR LBP</t>
  </si>
  <si>
    <t>Raphy B. Belardo</t>
  </si>
  <si>
    <t>Ryan I. Villaflores</t>
  </si>
  <si>
    <t>Orlando V. Asis</t>
  </si>
  <si>
    <t>Jay Q. Canaria</t>
  </si>
  <si>
    <t>For the Month of  JANUARY  2022</t>
  </si>
  <si>
    <t>Renato M. Magana</t>
  </si>
  <si>
    <t>NO.</t>
  </si>
  <si>
    <t>REGULAR LOAN</t>
  </si>
  <si>
    <t>IN CRISIS LOAN</t>
  </si>
  <si>
    <t>Coop Canteen</t>
  </si>
  <si>
    <t>ABULOY PROGRAM</t>
  </si>
  <si>
    <t>HANDOG KABUHAYAN/ITURO MO</t>
  </si>
  <si>
    <t>BACK TO BACK LOAN/SPECIAL LOAN</t>
  </si>
  <si>
    <t>PETTY CASH</t>
  </si>
  <si>
    <t>TOTAL DUE</t>
  </si>
  <si>
    <t>CAPITAL SHARE</t>
  </si>
  <si>
    <t>KIDDIE</t>
  </si>
  <si>
    <t>Store</t>
  </si>
  <si>
    <t>Asis, Ronnie R.</t>
  </si>
  <si>
    <t>Sub-total</t>
  </si>
  <si>
    <t>kiddie</t>
  </si>
  <si>
    <t>Diaz, Rowil</t>
  </si>
  <si>
    <t>Burac, Isaias</t>
  </si>
  <si>
    <t>Echano, Gerry</t>
  </si>
  <si>
    <t>Bequillo, Melvin</t>
  </si>
  <si>
    <t>Villamer, Virgilio A.</t>
  </si>
  <si>
    <t>Maligat, Ruby B.</t>
  </si>
  <si>
    <t>8711.0-045</t>
  </si>
  <si>
    <t>Eco, Arnel</t>
  </si>
  <si>
    <t>D A E T</t>
  </si>
  <si>
    <t>PAY SLIP</t>
  </si>
  <si>
    <t>Name</t>
  </si>
  <si>
    <t>Position</t>
  </si>
  <si>
    <t>PO IV</t>
  </si>
  <si>
    <t>For the Period</t>
  </si>
  <si>
    <t xml:space="preserve">Gross Salary </t>
  </si>
  <si>
    <t>PERA/RA/TA</t>
  </si>
  <si>
    <t>Less Deduction</t>
  </si>
  <si>
    <t>UCPB</t>
  </si>
  <si>
    <t>CBCN</t>
  </si>
  <si>
    <t>MSLAP</t>
  </si>
  <si>
    <t>Withholding Tax</t>
  </si>
  <si>
    <t>GSIS salary Loan</t>
  </si>
  <si>
    <t>GSIS Policy Loan</t>
  </si>
  <si>
    <t>Medicare</t>
  </si>
  <si>
    <t>GSIS Premium</t>
  </si>
  <si>
    <t>CNGWMPC</t>
  </si>
  <si>
    <t>UOLI</t>
  </si>
  <si>
    <t>GSIS Real State Loan</t>
  </si>
  <si>
    <t>PAG IBIG Cal. Loan</t>
  </si>
  <si>
    <t>GSIS Calamity Loan</t>
  </si>
  <si>
    <t>GSIS MPL</t>
  </si>
  <si>
    <t>Nursery</t>
  </si>
  <si>
    <t>GSIS Em. Loan</t>
  </si>
  <si>
    <t>GSIS Educ loan</t>
  </si>
  <si>
    <t>GSIS GFAL</t>
  </si>
  <si>
    <t>PAG IBIG Loyalty Card</t>
  </si>
  <si>
    <t>GSIS Educ Loan</t>
  </si>
  <si>
    <t xml:space="preserve">TOTAL DEDUCTION </t>
  </si>
  <si>
    <t>NET PAY</t>
  </si>
  <si>
    <t>AO V/PAYROLL CLERK</t>
  </si>
  <si>
    <t>GSIS Optional P Loan</t>
  </si>
  <si>
    <t>PAG IBIG CAL. Loan</t>
  </si>
  <si>
    <t>GSIS Computer Loan</t>
  </si>
  <si>
    <t>GSIS MP Loan</t>
  </si>
  <si>
    <t>GSIS MP LITE Loan</t>
  </si>
  <si>
    <t>GSIS EMERGENCY loan</t>
  </si>
  <si>
    <t>GSIS CONSO Loan</t>
  </si>
  <si>
    <t>PAG IBIG CAL. LOAN</t>
  </si>
  <si>
    <t xml:space="preserve">GSIS GFAL </t>
  </si>
  <si>
    <t>GSIS SOS</t>
  </si>
  <si>
    <t>GSIS Pol. Loan</t>
  </si>
  <si>
    <t>GSIS Reg Policy</t>
  </si>
  <si>
    <t>GSIS MP LITE loan</t>
  </si>
  <si>
    <t>UNLIQUIDATED</t>
  </si>
  <si>
    <t>CONSOL LOAN</t>
  </si>
  <si>
    <t>GSIS Consoloan</t>
  </si>
  <si>
    <t>GSIS  Educ.Loan</t>
  </si>
  <si>
    <t>GSIS Emer loan</t>
  </si>
  <si>
    <t>NAFC</t>
  </si>
  <si>
    <t>Pag-Ibig Calamity Loan</t>
  </si>
  <si>
    <t>GSIS GFAL Loan</t>
  </si>
  <si>
    <t>PAG IBIG Cal Loan</t>
  </si>
  <si>
    <t>Conso Loan</t>
  </si>
  <si>
    <t>GSIS Comp Loan</t>
  </si>
  <si>
    <t>GSIS Cash Advance</t>
  </si>
  <si>
    <t>GSIS CONSOL Loan</t>
  </si>
  <si>
    <t>GSIS Comp.  Loan</t>
  </si>
  <si>
    <t>GSIS Conso Loan</t>
  </si>
  <si>
    <t>GSIS Educ. Loan</t>
  </si>
  <si>
    <t>AOIII/Payroll Clerk</t>
  </si>
  <si>
    <t>GSIS Real State loan</t>
  </si>
  <si>
    <t>AO III/Payroll Clerk</t>
  </si>
  <si>
    <t>GSIS COMP. Loan</t>
  </si>
  <si>
    <t>GSIS Real St loan</t>
  </si>
  <si>
    <t>GSIS Conso loan</t>
  </si>
  <si>
    <t>GSIS Reg  Pol Loan</t>
  </si>
  <si>
    <t>GSIS REG POL Loan</t>
  </si>
  <si>
    <t>Pag-ibig Calamity Loan</t>
  </si>
  <si>
    <t>GSIS EMERG Loan</t>
  </si>
  <si>
    <t>GSIS MP LITE</t>
  </si>
  <si>
    <t>GSIS Comp. loan</t>
  </si>
  <si>
    <t>GSIS Reg Pol loan</t>
  </si>
  <si>
    <t xml:space="preserve"> Pag-Ibig Calamity Loan</t>
  </si>
  <si>
    <t>GSIS ReG pOL Loan</t>
  </si>
  <si>
    <t>GSIS MP LOAN</t>
  </si>
  <si>
    <t>QUEDANCOR</t>
  </si>
  <si>
    <t>GSIS CONSO</t>
  </si>
  <si>
    <t>GSIS Emrg loan</t>
  </si>
  <si>
    <t>GSIS gfal Loan</t>
  </si>
  <si>
    <t>e-Plus CA</t>
  </si>
  <si>
    <t xml:space="preserve">                                                                       </t>
  </si>
  <si>
    <t>GSIS Em.  Loan</t>
  </si>
  <si>
    <t>Consoloan</t>
  </si>
  <si>
    <t>GSIS COMP LOAN</t>
  </si>
  <si>
    <t>GSIS cOMP Loan</t>
  </si>
  <si>
    <t>GSIS Emerg Loan</t>
  </si>
  <si>
    <t>PAGIBIG CAL Loan</t>
  </si>
  <si>
    <t>Gross Salary Wages</t>
  </si>
  <si>
    <t>pagibig MPL</t>
  </si>
  <si>
    <t>PHILHEALTH NO.</t>
  </si>
  <si>
    <t>*</t>
  </si>
  <si>
    <t xml:space="preserve">MELINDA </t>
  </si>
  <si>
    <t>VELACRUZ</t>
  </si>
  <si>
    <t xml:space="preserve">          </t>
  </si>
  <si>
    <t xml:space="preserve">CARRIDO </t>
  </si>
  <si>
    <t>LAST NAME</t>
  </si>
  <si>
    <t>EXT.</t>
  </si>
  <si>
    <t>BIRTHDATE</t>
  </si>
  <si>
    <t>BASIC</t>
  </si>
  <si>
    <t xml:space="preserve">LIFE/RETIREMENT </t>
  </si>
  <si>
    <t>INSURANCE CONTRIBUTION</t>
  </si>
  <si>
    <t>ECF</t>
  </si>
  <si>
    <t>CONSOLOAN</t>
  </si>
  <si>
    <t>EMERGENCY</t>
  </si>
  <si>
    <t>REAL STATE</t>
  </si>
  <si>
    <t>BASQUIÑAS</t>
  </si>
  <si>
    <t>III</t>
  </si>
  <si>
    <t>SABULARCE</t>
  </si>
  <si>
    <t>LOLOS</t>
  </si>
  <si>
    <t>JABINES</t>
  </si>
  <si>
    <t>2001333753</t>
  </si>
  <si>
    <t>2001337619</t>
  </si>
  <si>
    <t>2001341176</t>
  </si>
  <si>
    <t>2004721100</t>
  </si>
  <si>
    <t>2001341502</t>
  </si>
  <si>
    <t>2001339696</t>
  </si>
  <si>
    <t>2003905771</t>
  </si>
  <si>
    <t>2004730585</t>
  </si>
  <si>
    <t xml:space="preserve">VELACRUZ </t>
  </si>
  <si>
    <t>2001337337</t>
  </si>
  <si>
    <t>2005606123</t>
  </si>
  <si>
    <t>2005606047</t>
  </si>
  <si>
    <t>2005606078</t>
  </si>
  <si>
    <t>2001338398</t>
  </si>
  <si>
    <t>2001332731</t>
  </si>
  <si>
    <t>2005606098</t>
  </si>
  <si>
    <t>2005606118</t>
  </si>
  <si>
    <t>2001308130</t>
  </si>
  <si>
    <t>2004617188</t>
  </si>
  <si>
    <t>2001338301</t>
  </si>
  <si>
    <t>2004315758</t>
  </si>
  <si>
    <t>2004617189</t>
  </si>
  <si>
    <t>2005170627</t>
  </si>
  <si>
    <t>2004297137</t>
  </si>
  <si>
    <t>2001341487</t>
  </si>
  <si>
    <t>2001306774</t>
  </si>
  <si>
    <t>2001300785</t>
  </si>
  <si>
    <t>2005606116</t>
  </si>
  <si>
    <t>2004309155</t>
  </si>
  <si>
    <t>2005170616</t>
  </si>
  <si>
    <t>2005606106</t>
  </si>
  <si>
    <t>2005605156</t>
  </si>
  <si>
    <t>2001273701</t>
  </si>
  <si>
    <t>CONSO</t>
  </si>
  <si>
    <t xml:space="preserve"> LOAN</t>
  </si>
  <si>
    <t>Certified Correct:</t>
  </si>
  <si>
    <t xml:space="preserve">MIDDLE </t>
  </si>
  <si>
    <t xml:space="preserve">NAME </t>
  </si>
  <si>
    <t>PAG IBIG</t>
  </si>
  <si>
    <t>MID NO.</t>
  </si>
  <si>
    <t>HOUSING</t>
  </si>
  <si>
    <t>MP 2</t>
  </si>
  <si>
    <t xml:space="preserve">                                                                                                                 PAG IBIG FUND CONTRIBUTION REMITTANCE</t>
  </si>
  <si>
    <t>PHILHEALTH CONTRIBUTION REMITTANCE</t>
  </si>
  <si>
    <t>GONZALEZ</t>
  </si>
  <si>
    <t xml:space="preserve">PEDRO </t>
  </si>
  <si>
    <t>VILLAUNA</t>
  </si>
  <si>
    <t>BIRTHDAY</t>
  </si>
  <si>
    <t>T.I.N</t>
  </si>
  <si>
    <t xml:space="preserve">RYAN </t>
  </si>
  <si>
    <t>917-883-499</t>
  </si>
  <si>
    <t>920-897-958</t>
  </si>
  <si>
    <t>455-545-593</t>
  </si>
  <si>
    <t>194-250-448</t>
  </si>
  <si>
    <t>184-991-548</t>
  </si>
  <si>
    <t>934-370-349</t>
  </si>
  <si>
    <t>331-015-003</t>
  </si>
  <si>
    <t>115-112-217</t>
  </si>
  <si>
    <t>944-445-062</t>
  </si>
  <si>
    <t>478-090-392</t>
  </si>
  <si>
    <t>741-238-978</t>
  </si>
  <si>
    <t>308-906-844</t>
  </si>
  <si>
    <t>184-649-184</t>
  </si>
  <si>
    <t>937-146-566</t>
  </si>
  <si>
    <t>179-630-086</t>
  </si>
  <si>
    <t>926-312-148</t>
  </si>
  <si>
    <t>277-460-623</t>
  </si>
  <si>
    <t>136-922-425</t>
  </si>
  <si>
    <t>136-921-518</t>
  </si>
  <si>
    <t>136-923-475</t>
  </si>
  <si>
    <t>739-379-895</t>
  </si>
  <si>
    <t>432-176-415</t>
  </si>
  <si>
    <t>177-725-719</t>
  </si>
  <si>
    <t>DEVELOPMENT BANK OF THE PHILIPPINES (DBP) LOAN AMORTIZATION REMITTANCE</t>
  </si>
  <si>
    <t xml:space="preserve">NO. </t>
  </si>
  <si>
    <t>NAME EXT.</t>
  </si>
  <si>
    <t>AMOUNT DUE</t>
  </si>
  <si>
    <t>Provinical Agriculturist</t>
  </si>
  <si>
    <t>LAND BANK OF THE PHILIPPINES (LBP) LOAN AMORTIZATION REMITTANCE</t>
  </si>
  <si>
    <t>CNGWMPC REMITTANCE</t>
  </si>
  <si>
    <t>NO</t>
  </si>
  <si>
    <t>Provincial  Agriculturist</t>
  </si>
  <si>
    <t xml:space="preserve">                                                                    GOVERNMENT SERVICE INSURANCE SYSTEM CONTRIBUTION REMITTANCE</t>
  </si>
  <si>
    <t xml:space="preserve">     OFFICE OF THE PROVINCIAL AGRICULTURIST</t>
  </si>
  <si>
    <t xml:space="preserve">                                                  OFFICE OF THE PROVINCIAL AGRICULTURIST</t>
  </si>
  <si>
    <t xml:space="preserve">                                                                                            PAG IBIG FUND CONTRIBUTION REMITTANCE</t>
  </si>
  <si>
    <t>8710-001-1</t>
  </si>
  <si>
    <t>001-001</t>
  </si>
  <si>
    <t>01-016-001</t>
  </si>
  <si>
    <t>p</t>
  </si>
  <si>
    <t>STATEMENT OF REMITTANCE FOR WITHHOLDING TAX</t>
  </si>
  <si>
    <t>GSIS POL LOAN</t>
  </si>
  <si>
    <t>SAO</t>
  </si>
  <si>
    <t>AOIII</t>
  </si>
  <si>
    <t>SR AQ</t>
  </si>
  <si>
    <t>AAQII</t>
  </si>
  <si>
    <t>MARY DIANNE R. EMATA</t>
  </si>
  <si>
    <t>JOHNSON D. BOGATE</t>
  </si>
  <si>
    <t>ALEXIS R. DELA CRUZ</t>
  </si>
  <si>
    <t>AQ I</t>
  </si>
  <si>
    <t>EMATA</t>
  </si>
  <si>
    <t>MARY DIANNE</t>
  </si>
  <si>
    <t>ROCAS</t>
  </si>
  <si>
    <t>BOGATE</t>
  </si>
  <si>
    <t>JOHNSON</t>
  </si>
  <si>
    <t>DELA AUSTRIA</t>
  </si>
  <si>
    <t>ALEXIS</t>
  </si>
  <si>
    <t>RAFAEL</t>
  </si>
  <si>
    <t>2005829011</t>
  </si>
  <si>
    <t>1213-1444-2359</t>
  </si>
  <si>
    <t>1212-4410-1330</t>
  </si>
  <si>
    <t>1211-54978614</t>
  </si>
  <si>
    <t>732-844-188</t>
  </si>
  <si>
    <r>
      <t>BASQUI</t>
    </r>
    <r>
      <rPr>
        <sz val="11"/>
        <rFont val="Bookman Old Style"/>
        <family val="1"/>
      </rPr>
      <t>Ň</t>
    </r>
    <r>
      <rPr>
        <sz val="11"/>
        <rFont val="Tahoma"/>
        <family val="2"/>
      </rPr>
      <t>AS</t>
    </r>
  </si>
  <si>
    <r>
      <t>MIRA</t>
    </r>
    <r>
      <rPr>
        <sz val="11"/>
        <rFont val="Bookman Old Style"/>
        <family val="1"/>
      </rPr>
      <t>Ň</t>
    </r>
    <r>
      <rPr>
        <sz val="11"/>
        <rFont val="Tahoma"/>
        <family val="2"/>
      </rPr>
      <t>A</t>
    </r>
  </si>
  <si>
    <t>GSIS MP Lite</t>
  </si>
  <si>
    <t>745-294-229</t>
  </si>
  <si>
    <t>RURAL BANK OF PARACALE LOAN AMORTIZATION REMITTANCE</t>
  </si>
  <si>
    <t>GSIS MP lite Loan</t>
  </si>
  <si>
    <t>GSIS Emerg loan</t>
  </si>
  <si>
    <t>CERTIFICATION:</t>
  </si>
  <si>
    <t>This is to certify that the amount herein collected for RA/TA</t>
  </si>
  <si>
    <t>represents expenses incurred in the discharge of my</t>
  </si>
  <si>
    <t>official functions and duties as Provincial Agriculturist.</t>
  </si>
  <si>
    <t>This certifies further that I am not assigned nor used</t>
  </si>
  <si>
    <t>government vehicle in the discharge of my official functions and duties.</t>
  </si>
  <si>
    <t>Paracale Rural Bank</t>
  </si>
  <si>
    <t>GSIS Reg. Pol. loan</t>
  </si>
  <si>
    <t>For theperiod covered JULY 2025</t>
  </si>
  <si>
    <t>Acting Governor</t>
  </si>
  <si>
    <t>RAYMOND JOHN Z. PANDI</t>
  </si>
  <si>
    <t>STATE AUDITOR IV</t>
  </si>
  <si>
    <t>2006669243</t>
  </si>
  <si>
    <t>2006669242</t>
  </si>
  <si>
    <t>JOSEPH V. ASCUTIA</t>
  </si>
  <si>
    <t xml:space="preserve">    We hereby acknowledge to have received from  _________________,  ICO of Camarines Norte, the sums herein specified opposite our respective                                                            names, the same being full compensation for our services rendered during the period stated below, to the correctness of which we hereby severally certify.</t>
  </si>
  <si>
    <t>GSIS mplite</t>
  </si>
  <si>
    <t>GSIS  MP loan</t>
  </si>
  <si>
    <t>8711.0-024</t>
  </si>
  <si>
    <t>DULCE D. DORIMAN</t>
  </si>
  <si>
    <t>2001332798</t>
  </si>
  <si>
    <t>1530-0094-2349</t>
  </si>
  <si>
    <t>923-151-932</t>
  </si>
  <si>
    <t>Overpayment</t>
  </si>
  <si>
    <t>for Sept 2025</t>
  </si>
  <si>
    <t>GSIS COMP Loan</t>
  </si>
  <si>
    <t>GSIS Comp. Loan</t>
  </si>
  <si>
    <t>GSIS COMP. LOAN</t>
  </si>
  <si>
    <t>477-388-965</t>
  </si>
  <si>
    <t>FEBRUARY 1-28, 2026</t>
  </si>
  <si>
    <t xml:space="preserve">TO PAYMENT for SALARIES, PERA/RATA for the month of  FEBRUARY  2026 of the above personnel </t>
  </si>
  <si>
    <t>FEBRUARY 2026</t>
  </si>
  <si>
    <t xml:space="preserve">                                                                                                                                     For the period covered  FEBRUARY 2026</t>
  </si>
  <si>
    <t xml:space="preserve">                                                                                                                                                                                                                                 For the period covered  FEBRUARY 2026</t>
  </si>
  <si>
    <t xml:space="preserve">                                                                                                                                      For the period covered  FEBRUARY 2026</t>
  </si>
  <si>
    <t xml:space="preserve">                                                                                                                                                                 For the period covered  FEBRUARY 2026</t>
  </si>
  <si>
    <t xml:space="preserve">             For the period covered FEBRUARY 2026</t>
  </si>
  <si>
    <t>For the period covered FEBRUARY 2026</t>
  </si>
  <si>
    <t>For theperiod covered FEBRUARY 2026</t>
  </si>
  <si>
    <t xml:space="preserve">                               For the period covered FEBRUARY 2026</t>
  </si>
  <si>
    <t>2/1-28/2026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</si>
</sst>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4" formatCode="_(&quot;$&quot;* #,##0.00_);_(&quot;$&quot;* \(#,##0.00\);_(&quot;$&quot;* &quot;-&quot;??_);_(@_)"/>
    <numFmt numFmtId="43" formatCode="_(* #,##0.00_);_(* \(#,##0.00\);_(* &quot;-&quot;??_);_(@_)"/>
    <numFmt numFmtId="164" formatCode="_(&quot;P&quot;* #,##0.00_);_(&quot;P&quot;* \(#,##0.00\);_(&quot;P&quot;* &quot;-&quot;??_);_(@_)"/>
    <numFmt numFmtId="165" formatCode="mmmm\-yy"/>
    <numFmt numFmtId="166" formatCode="_(* #,##0.00_);_(* \(#,##0.00\);_(* &quot;-&quot;_);_(@_)"/>
    <numFmt numFmtId="167" formatCode="_(* #,##0_);_(* \(#,##0\);_(* &quot;-&quot;??_);_(@_)"/>
    <numFmt numFmtId="168" formatCode="\P\ 0,000.00"/>
    <numFmt numFmtId="169" formatCode="[$-409]mmmm\-yy;@"/>
    <numFmt numFmtId="170" formatCode="[$-409]mmmm\ d\,\ yyyy;@"/>
    <numFmt numFmtId="171" formatCode="_(* #,##0.0_);_(* \(#,##0.0\);_(* &quot;-&quot;??_);_(@_)"/>
  </numFmts>
  <fonts count="135">
    <font>
      <sz val="10"/>
      <name val="Times New Roman"/>
      <charset val="134"/>
    </font>
    <font>
      <sz val="10"/>
      <name val="Arial Narrow"/>
      <family val="2"/>
    </font>
    <font>
      <i/>
      <sz val="7"/>
      <name val="Arial Narrow"/>
      <family val="2"/>
    </font>
    <font>
      <b/>
      <sz val="18"/>
      <name val="Arial Narrow"/>
      <family val="2"/>
    </font>
    <font>
      <sz val="8"/>
      <name val="Arial Narrow"/>
      <family val="2"/>
    </font>
    <font>
      <sz val="6"/>
      <name val="Arial Narrow"/>
      <family val="2"/>
    </font>
    <font>
      <b/>
      <sz val="11"/>
      <name val="Arial Narrow"/>
      <family val="2"/>
    </font>
    <font>
      <b/>
      <sz val="12"/>
      <name val="Arial Narrow"/>
      <family val="2"/>
    </font>
    <font>
      <sz val="10"/>
      <name val="Times New Roman"/>
      <family val="1"/>
    </font>
    <font>
      <sz val="7"/>
      <name val="Arial Narrow"/>
      <family val="2"/>
    </font>
    <font>
      <sz val="10"/>
      <name val="Arial"/>
      <family val="2"/>
    </font>
    <font>
      <sz val="8"/>
      <name val="Arial"/>
      <family val="2"/>
    </font>
    <font>
      <sz val="10"/>
      <color theme="0"/>
      <name val="Arial Narrow"/>
      <family val="2"/>
    </font>
    <font>
      <sz val="10"/>
      <color theme="0"/>
      <name val="Times New Roman"/>
      <family val="1"/>
    </font>
    <font>
      <sz val="8"/>
      <color theme="0"/>
      <name val="Arial Narrow"/>
      <family val="2"/>
    </font>
    <font>
      <b/>
      <sz val="8"/>
      <name val="Arial"/>
      <family val="2"/>
    </font>
    <font>
      <b/>
      <sz val="10"/>
      <name val="Times New Roman"/>
      <family val="1"/>
    </font>
    <font>
      <sz val="8"/>
      <name val="Times New Roman"/>
      <family val="1"/>
    </font>
    <font>
      <sz val="11"/>
      <name val="Bodoni MT"/>
      <family val="1"/>
    </font>
    <font>
      <b/>
      <sz val="11"/>
      <name val="Bodoni MT"/>
      <family val="1"/>
    </font>
    <font>
      <sz val="10"/>
      <color theme="0"/>
      <name val="Arial"/>
      <family val="2"/>
    </font>
    <font>
      <sz val="9"/>
      <color theme="0"/>
      <name val="Tahoma"/>
      <family val="2"/>
    </font>
    <font>
      <sz val="9"/>
      <name val="Tahoma"/>
      <family val="2"/>
    </font>
    <font>
      <b/>
      <sz val="10"/>
      <name val="Arial"/>
      <family val="2"/>
    </font>
    <font>
      <b/>
      <sz val="11"/>
      <name val="Arial"/>
      <family val="2"/>
    </font>
    <font>
      <i/>
      <sz val="10"/>
      <name val="Arial"/>
      <family val="2"/>
    </font>
    <font>
      <b/>
      <sz val="12"/>
      <name val="Arial"/>
      <family val="2"/>
    </font>
    <font>
      <sz val="12"/>
      <name val="Arial"/>
      <family val="2"/>
    </font>
    <font>
      <sz val="12"/>
      <name val="Times New Roman"/>
      <family val="1"/>
    </font>
    <font>
      <sz val="11"/>
      <name val="Times New Roman"/>
      <family val="1"/>
    </font>
    <font>
      <b/>
      <sz val="11"/>
      <name val="Bookman Old Style"/>
      <family val="1"/>
    </font>
    <font>
      <sz val="11"/>
      <name val="Bookman Old Style"/>
      <family val="1"/>
    </font>
    <font>
      <sz val="11"/>
      <name val="Arial"/>
      <family val="2"/>
    </font>
    <font>
      <sz val="8"/>
      <name val="Bookman Old Style"/>
      <family val="1"/>
    </font>
    <font>
      <sz val="12"/>
      <name val="Bookman Old Style"/>
      <family val="1"/>
    </font>
    <font>
      <sz val="9"/>
      <name val="Bookman Old Style"/>
      <family val="1"/>
    </font>
    <font>
      <sz val="8"/>
      <color theme="0"/>
      <name val="Bookman Old Style"/>
      <family val="1"/>
    </font>
    <font>
      <sz val="7"/>
      <name val="Times New Roman"/>
      <family val="1"/>
    </font>
    <font>
      <sz val="14"/>
      <name val="Arial"/>
      <family val="2"/>
    </font>
    <font>
      <sz val="16"/>
      <name val="Arial"/>
      <family val="2"/>
    </font>
    <font>
      <b/>
      <sz val="10"/>
      <name val="Bookman Old Style"/>
      <family val="1"/>
    </font>
    <font>
      <sz val="10"/>
      <name val="Bookman Old Style"/>
      <family val="1"/>
    </font>
    <font>
      <b/>
      <sz val="8"/>
      <name val="Bookman Old Style"/>
      <family val="1"/>
    </font>
    <font>
      <b/>
      <sz val="9"/>
      <name val="Bookman Old Style"/>
      <family val="1"/>
    </font>
    <font>
      <b/>
      <sz val="9"/>
      <name val="Arial"/>
      <family val="2"/>
    </font>
    <font>
      <sz val="11"/>
      <color theme="0"/>
      <name val="Times New Roman"/>
      <family val="1"/>
    </font>
    <font>
      <sz val="10"/>
      <color indexed="9"/>
      <name val="Arial"/>
      <family val="2"/>
    </font>
    <font>
      <b/>
      <sz val="12"/>
      <name val="Bodoni MT"/>
      <family val="1"/>
    </font>
    <font>
      <sz val="9"/>
      <name val="Bodoni MT"/>
      <family val="1"/>
    </font>
    <font>
      <sz val="10"/>
      <color theme="1"/>
      <name val="Arial"/>
      <family val="2"/>
    </font>
    <font>
      <sz val="10"/>
      <name val="Tahoma"/>
      <family val="2"/>
    </font>
    <font>
      <sz val="10"/>
      <color theme="1"/>
      <name val="Times New Roman"/>
      <family val="1"/>
    </font>
    <font>
      <sz val="9"/>
      <color theme="1"/>
      <name val="Bodoni MT"/>
      <family val="1"/>
    </font>
    <font>
      <b/>
      <sz val="11"/>
      <name val="Tahoma"/>
      <family val="2"/>
    </font>
    <font>
      <sz val="9"/>
      <name val="Times New Roman"/>
      <family val="1"/>
    </font>
    <font>
      <sz val="9"/>
      <color theme="0"/>
      <name val="Bodoni MT"/>
      <family val="1"/>
    </font>
    <font>
      <sz val="9"/>
      <color theme="1"/>
      <name val="Calibri"/>
      <family val="2"/>
    </font>
    <font>
      <sz val="10"/>
      <name val="Bodoni MT"/>
      <family val="1"/>
    </font>
    <font>
      <sz val="7"/>
      <name val="Arial"/>
      <family val="2"/>
    </font>
    <font>
      <sz val="12"/>
      <name val="Arial Narrow"/>
      <family val="2"/>
    </font>
    <font>
      <sz val="8"/>
      <color theme="0"/>
      <name val="Arial"/>
      <family val="2"/>
    </font>
    <font>
      <sz val="6"/>
      <name val="Arial"/>
      <family val="2"/>
    </font>
    <font>
      <b/>
      <sz val="12"/>
      <color theme="1"/>
      <name val="Arial"/>
      <family val="2"/>
    </font>
    <font>
      <sz val="7"/>
      <color theme="1"/>
      <name val="Arial"/>
      <family val="2"/>
    </font>
    <font>
      <sz val="11"/>
      <color theme="1"/>
      <name val="Arial"/>
      <family val="2"/>
    </font>
    <font>
      <sz val="8"/>
      <color theme="1"/>
      <name val="Arial"/>
      <family val="2"/>
    </font>
    <font>
      <sz val="16"/>
      <color rgb="FFFF0000"/>
      <name val="Arial Narrow"/>
      <family val="2"/>
    </font>
    <font>
      <sz val="16"/>
      <name val="Arial Narrow"/>
      <family val="2"/>
    </font>
    <font>
      <sz val="7"/>
      <color rgb="FFFF0000"/>
      <name val="Arial Narrow"/>
      <family val="2"/>
    </font>
    <font>
      <sz val="14"/>
      <name val="Arial Narrow"/>
      <family val="2"/>
    </font>
    <font>
      <sz val="9"/>
      <name val="Arial Narrow"/>
      <family val="2"/>
    </font>
    <font>
      <sz val="18"/>
      <name val="Arial Narrow"/>
      <family val="2"/>
    </font>
    <font>
      <b/>
      <sz val="14"/>
      <name val="Arial Narrow"/>
      <family val="2"/>
    </font>
    <font>
      <sz val="16"/>
      <color theme="1" tint="4.9989318521683403E-2"/>
      <name val="Arial Narrow"/>
      <family val="2"/>
    </font>
    <font>
      <sz val="15"/>
      <name val="Arial Narrow"/>
      <family val="2"/>
    </font>
    <font>
      <sz val="11"/>
      <name val="Arial Narrow"/>
      <family val="2"/>
    </font>
    <font>
      <sz val="15"/>
      <color theme="1" tint="4.9989318521683403E-2"/>
      <name val="Arial Narrow"/>
      <family val="2"/>
    </font>
    <font>
      <b/>
      <sz val="20"/>
      <name val="Arial Narrow"/>
      <family val="2"/>
    </font>
    <font>
      <b/>
      <sz val="24"/>
      <name val="Arial Narrow"/>
      <family val="2"/>
    </font>
    <font>
      <b/>
      <sz val="12"/>
      <color rgb="FFFF0000"/>
      <name val="Arial Narrow"/>
      <family val="2"/>
    </font>
    <font>
      <sz val="24"/>
      <name val="Arial Narrow"/>
      <family val="2"/>
    </font>
    <font>
      <sz val="20"/>
      <name val="Arial Narrow"/>
      <family val="2"/>
    </font>
    <font>
      <b/>
      <sz val="16"/>
      <name val="Arial Narrow"/>
      <family val="2"/>
    </font>
    <font>
      <b/>
      <sz val="15"/>
      <name val="Arial Narrow"/>
      <family val="2"/>
    </font>
    <font>
      <b/>
      <i/>
      <sz val="14"/>
      <name val="Arial Narrow"/>
      <family val="2"/>
    </font>
    <font>
      <u/>
      <sz val="20"/>
      <name val="Arial Narrow"/>
      <family val="2"/>
    </font>
    <font>
      <sz val="7"/>
      <color theme="5"/>
      <name val="Arial Narrow"/>
      <family val="2"/>
    </font>
    <font>
      <u/>
      <sz val="14"/>
      <name val="Arial Narrow"/>
      <family val="2"/>
    </font>
    <font>
      <b/>
      <sz val="10"/>
      <name val="Arial Narrow"/>
      <family val="2"/>
    </font>
    <font>
      <i/>
      <sz val="10"/>
      <name val="Arial Narrow"/>
      <family val="2"/>
    </font>
    <font>
      <b/>
      <sz val="8"/>
      <name val="Times New Roman"/>
      <family val="1"/>
    </font>
    <font>
      <b/>
      <sz val="11"/>
      <name val="Times New Roman"/>
      <family val="1"/>
    </font>
    <font>
      <b/>
      <sz val="9"/>
      <name val="Arial Narrow"/>
      <family val="2"/>
    </font>
    <font>
      <sz val="8"/>
      <name val="Arial"/>
      <family val="2"/>
    </font>
    <font>
      <sz val="9"/>
      <name val="Arial"/>
      <family val="2"/>
    </font>
    <font>
      <sz val="10"/>
      <name val="Arial"/>
      <family val="2"/>
    </font>
    <font>
      <sz val="10"/>
      <name val="Times New Roman"/>
      <family val="1"/>
    </font>
    <font>
      <sz val="12"/>
      <name val="Times New Roman"/>
      <family val="1"/>
    </font>
    <font>
      <b/>
      <sz val="10"/>
      <name val="Arial"/>
      <family val="2"/>
    </font>
    <font>
      <b/>
      <sz val="8"/>
      <name val="Arial"/>
      <family val="2"/>
    </font>
    <font>
      <b/>
      <sz val="12"/>
      <name val="Times New Roman"/>
      <family val="1"/>
    </font>
    <font>
      <b/>
      <sz val="12"/>
      <name val="Arial"/>
      <family val="2"/>
    </font>
    <font>
      <sz val="12"/>
      <name val="Arial"/>
      <family val="2"/>
    </font>
    <font>
      <sz val="12"/>
      <name val="Arial Narrow"/>
      <family val="2"/>
    </font>
    <font>
      <sz val="10"/>
      <name val="Arial Narrow"/>
      <family val="2"/>
    </font>
    <font>
      <b/>
      <sz val="12"/>
      <name val="Arial Narrow"/>
      <family val="2"/>
    </font>
    <font>
      <b/>
      <sz val="10"/>
      <name val="Arial Narrow"/>
      <family val="2"/>
    </font>
    <font>
      <sz val="11"/>
      <name val="Times New Roman"/>
      <family val="1"/>
    </font>
    <font>
      <sz val="11"/>
      <name val="Bodoni MT"/>
      <family val="1"/>
    </font>
    <font>
      <b/>
      <sz val="11"/>
      <name val="Bodoni MT"/>
      <family val="1"/>
    </font>
    <font>
      <sz val="9"/>
      <name val="Tahoma"/>
      <family val="2"/>
    </font>
    <font>
      <sz val="9"/>
      <color theme="1"/>
      <name val="Bodoni MT"/>
      <family val="1"/>
    </font>
    <font>
      <sz val="11"/>
      <name val="Bookman Old Style"/>
      <family val="1"/>
    </font>
    <font>
      <b/>
      <sz val="11"/>
      <name val="Bookman Old Style"/>
      <family val="1"/>
    </font>
    <font>
      <sz val="11"/>
      <color theme="1"/>
      <name val="Arial Narrow"/>
      <family val="2"/>
    </font>
    <font>
      <sz val="12"/>
      <name val="Bookman Old Style"/>
      <family val="1"/>
    </font>
    <font>
      <b/>
      <sz val="12"/>
      <name val="Bookman Old Style"/>
      <family val="1"/>
    </font>
    <font>
      <b/>
      <sz val="11"/>
      <name val="Times New Roman"/>
      <family val="1"/>
    </font>
    <font>
      <sz val="11"/>
      <color theme="1"/>
      <name val="Calibri"/>
      <family val="2"/>
    </font>
    <font>
      <sz val="11"/>
      <name val="Tahoma"/>
      <family val="2"/>
    </font>
    <font>
      <sz val="12"/>
      <name val="Bodoni MT"/>
      <family val="1"/>
    </font>
    <font>
      <sz val="12"/>
      <name val="Tahoma"/>
      <family val="2"/>
    </font>
    <font>
      <sz val="12"/>
      <color theme="0"/>
      <name val="Times New Roman"/>
      <family val="1"/>
    </font>
    <font>
      <sz val="12"/>
      <color theme="0"/>
      <name val="Arial"/>
      <family val="2"/>
    </font>
    <font>
      <i/>
      <sz val="12"/>
      <name val="Arial"/>
      <family val="2"/>
    </font>
    <font>
      <sz val="12"/>
      <color theme="1"/>
      <name val="Bodoni MT"/>
      <family val="1"/>
    </font>
    <font>
      <sz val="12"/>
      <color theme="0"/>
      <name val="Bookman Old Style"/>
      <family val="1"/>
    </font>
    <font>
      <sz val="11"/>
      <color theme="0"/>
      <name val="Arial"/>
      <family val="2"/>
    </font>
    <font>
      <sz val="12"/>
      <color theme="0"/>
      <name val="Bodoni MT"/>
      <family val="1"/>
    </font>
    <font>
      <sz val="14"/>
      <color rgb="FFFF0000"/>
      <name val="Arial Narrow"/>
      <family val="2"/>
    </font>
    <font>
      <sz val="12"/>
      <color theme="1"/>
      <name val="Arial Narrow"/>
      <family val="2"/>
    </font>
    <font>
      <sz val="12"/>
      <color theme="0"/>
      <name val="Tahoma"/>
      <family val="2"/>
    </font>
    <font>
      <sz val="11"/>
      <color theme="1"/>
      <name val="Times New Roman"/>
      <family val="1"/>
    </font>
    <font>
      <b/>
      <sz val="11"/>
      <color theme="1"/>
      <name val="Times New Roman"/>
      <family val="1"/>
    </font>
    <font>
      <sz val="12"/>
      <color rgb="FFFF0000"/>
      <name val="Arial Narrow"/>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5"/>
        <bgColor indexed="64"/>
      </patternFill>
    </fill>
  </fills>
  <borders count="1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Dashed">
        <color auto="1"/>
      </left>
      <right/>
      <top style="mediumDashed">
        <color auto="1"/>
      </top>
      <bottom/>
      <diagonal/>
    </border>
    <border>
      <left/>
      <right/>
      <top style="mediumDashed">
        <color auto="1"/>
      </top>
      <bottom/>
      <diagonal/>
    </border>
    <border>
      <left style="thin">
        <color auto="1"/>
      </left>
      <right/>
      <top/>
      <bottom/>
      <diagonal/>
    </border>
    <border>
      <left/>
      <right style="thin">
        <color auto="1"/>
      </right>
      <top/>
      <bottom/>
      <diagonal/>
    </border>
    <border>
      <left style="mediumDashed">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Dashed">
        <color auto="1"/>
      </left>
      <right/>
      <top/>
      <bottom style="mediumDashed">
        <color auto="1"/>
      </bottom>
      <diagonal/>
    </border>
    <border>
      <left/>
      <right/>
      <top/>
      <bottom style="mediumDashed">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18"/>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bottom/>
      <diagonal/>
    </border>
    <border>
      <left style="thin">
        <color indexed="18"/>
      </left>
      <right style="thin">
        <color indexed="18"/>
      </right>
      <top/>
      <bottom style="thin">
        <color indexed="18"/>
      </bottom>
      <diagonal/>
    </border>
    <border>
      <left/>
      <right/>
      <top style="thin">
        <color indexed="18"/>
      </top>
      <bottom/>
      <diagonal/>
    </border>
    <border>
      <left style="double">
        <color auto="1"/>
      </left>
      <right style="double">
        <color auto="1"/>
      </right>
      <top style="double">
        <color auto="1"/>
      </top>
      <bottom/>
      <diagonal/>
    </border>
    <border>
      <left/>
      <right/>
      <top style="double">
        <color auto="1"/>
      </top>
      <bottom/>
      <diagonal/>
    </border>
    <border>
      <left style="double">
        <color auto="1"/>
      </left>
      <right/>
      <top style="double">
        <color auto="1"/>
      </top>
      <bottom/>
      <diagonal/>
    </border>
    <border>
      <left style="double">
        <color auto="1"/>
      </left>
      <right style="double">
        <color auto="1"/>
      </right>
      <top/>
      <bottom/>
      <diagonal/>
    </border>
    <border>
      <left style="double">
        <color auto="1"/>
      </left>
      <right/>
      <top/>
      <bottom/>
      <diagonal/>
    </border>
    <border>
      <left style="double">
        <color auto="1"/>
      </left>
      <right/>
      <top/>
      <bottom style="thin">
        <color auto="1"/>
      </bottom>
      <diagonal/>
    </border>
    <border>
      <left style="double">
        <color auto="1"/>
      </left>
      <right style="thin">
        <color auto="1"/>
      </right>
      <top/>
      <bottom/>
      <diagonal/>
    </border>
    <border>
      <left style="double">
        <color auto="1"/>
      </left>
      <right/>
      <top/>
      <bottom style="double">
        <color auto="1"/>
      </bottom>
      <diagonal/>
    </border>
    <border>
      <left/>
      <right style="double">
        <color auto="1"/>
      </right>
      <top/>
      <bottom style="thin">
        <color auto="1"/>
      </bottom>
      <diagonal/>
    </border>
    <border>
      <left style="double">
        <color auto="1"/>
      </left>
      <right style="thin">
        <color auto="1"/>
      </right>
      <top style="thin">
        <color auto="1"/>
      </top>
      <bottom style="thin">
        <color auto="1"/>
      </bottom>
      <diagonal/>
    </border>
    <border>
      <left style="double">
        <color auto="1"/>
      </left>
      <right style="double">
        <color auto="1"/>
      </right>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thin">
        <color auto="1"/>
      </top>
      <bottom style="thin">
        <color auto="1"/>
      </bottom>
      <diagonal/>
    </border>
    <border>
      <left style="double">
        <color auto="1"/>
      </left>
      <right style="double">
        <color auto="1"/>
      </right>
      <top/>
      <bottom style="double">
        <color auto="1"/>
      </bottom>
      <diagonal/>
    </border>
    <border>
      <left/>
      <right/>
      <top/>
      <bottom style="dashed">
        <color auto="1"/>
      </bottom>
      <diagonal/>
    </border>
    <border>
      <left/>
      <right/>
      <top/>
      <bottom style="double">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style="thin">
        <color auto="1"/>
      </right>
      <top style="double">
        <color auto="1"/>
      </top>
      <bottom style="thin">
        <color auto="1"/>
      </bottom>
      <diagonal/>
    </border>
    <border>
      <left/>
      <right/>
      <top style="medium">
        <color auto="1"/>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diagonal/>
    </border>
    <border>
      <left/>
      <right style="double">
        <color auto="1"/>
      </right>
      <top style="thin">
        <color auto="1"/>
      </top>
      <bottom style="thin">
        <color auto="1"/>
      </bottom>
      <diagonal/>
    </border>
    <border>
      <left/>
      <right style="double">
        <color auto="1"/>
      </right>
      <top style="thin">
        <color auto="1"/>
      </top>
      <bottom/>
      <diagonal/>
    </border>
    <border>
      <left/>
      <right style="double">
        <color auto="1"/>
      </right>
      <top/>
      <bottom/>
      <diagonal/>
    </border>
    <border>
      <left/>
      <right style="double">
        <color auto="1"/>
      </right>
      <top/>
      <bottom style="double">
        <color auto="1"/>
      </bottom>
      <diagonal/>
    </border>
    <border>
      <left style="thin">
        <color auto="1"/>
      </left>
      <right/>
      <top/>
      <bottom style="medium">
        <color auto="1"/>
      </bottom>
      <diagonal/>
    </border>
    <border>
      <left/>
      <right/>
      <top/>
      <bottom style="medium">
        <color auto="1"/>
      </bottom>
      <diagonal/>
    </border>
    <border>
      <left style="thin">
        <color indexed="18"/>
      </left>
      <right/>
      <top style="thin">
        <color theme="1"/>
      </top>
      <bottom/>
      <diagonal/>
    </border>
    <border>
      <left/>
      <right/>
      <top style="thin">
        <color theme="1"/>
      </top>
      <bottom/>
      <diagonal/>
    </border>
    <border>
      <left style="thin">
        <color indexed="18"/>
      </left>
      <right/>
      <top/>
      <bottom/>
      <diagonal/>
    </border>
    <border>
      <left/>
      <right style="thin">
        <color auto="1"/>
      </right>
      <top/>
      <bottom style="medium">
        <color auto="1"/>
      </bottom>
      <diagonal/>
    </border>
    <border>
      <left/>
      <right style="thin">
        <color auto="1"/>
      </right>
      <top style="thin">
        <color theme="1"/>
      </top>
      <bottom/>
      <diagonal/>
    </border>
    <border>
      <left style="thin">
        <color indexed="18"/>
      </left>
      <right/>
      <top style="thin">
        <color auto="1"/>
      </top>
      <bottom/>
      <diagonal/>
    </border>
    <border>
      <left style="thin">
        <color indexed="18"/>
      </left>
      <right/>
      <top/>
      <bottom style="thin">
        <color auto="1"/>
      </bottom>
      <diagonal/>
    </border>
    <border>
      <left/>
      <right/>
      <top/>
      <bottom style="thin">
        <color indexed="18"/>
      </bottom>
      <diagonal/>
    </border>
    <border>
      <left style="thin">
        <color indexed="18"/>
      </left>
      <right/>
      <top style="thin">
        <color auto="1"/>
      </top>
      <bottom style="thin">
        <color auto="1"/>
      </bottom>
      <diagonal/>
    </border>
    <border>
      <left/>
      <right style="thin">
        <color indexed="18"/>
      </right>
      <top/>
      <bottom/>
      <diagonal/>
    </border>
    <border>
      <left style="thin">
        <color auto="1"/>
      </left>
      <right/>
      <top/>
      <bottom style="dashed">
        <color auto="1"/>
      </bottom>
      <diagonal/>
    </border>
    <border>
      <left/>
      <right style="thin">
        <color auto="1"/>
      </right>
      <top/>
      <bottom style="dashed">
        <color auto="1"/>
      </bottom>
      <diagonal/>
    </border>
    <border>
      <left style="thin">
        <color indexed="18"/>
      </left>
      <right/>
      <top/>
      <bottom style="thin">
        <color theme="1"/>
      </bottom>
      <diagonal/>
    </border>
    <border>
      <left/>
      <right/>
      <top/>
      <bottom style="thin">
        <color theme="1"/>
      </bottom>
      <diagonal/>
    </border>
    <border>
      <left/>
      <right style="thin">
        <color auto="1"/>
      </right>
      <top/>
      <bottom style="thin">
        <color theme="1"/>
      </bottom>
      <diagonal/>
    </border>
    <border>
      <left style="thin">
        <color indexed="64"/>
      </left>
      <right style="thin">
        <color auto="1"/>
      </right>
      <top/>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18"/>
      </left>
      <right/>
      <top/>
      <bottom style="thin">
        <color indexed="18"/>
      </bottom>
      <diagonal/>
    </border>
    <border>
      <left style="thin">
        <color indexed="64"/>
      </left>
      <right/>
      <top/>
      <bottom style="thin">
        <color indexed="64"/>
      </bottom>
      <diagonal/>
    </border>
    <border>
      <left/>
      <right style="thin">
        <color indexed="18"/>
      </right>
      <top/>
      <bottom style="thin">
        <color indexed="64"/>
      </bottom>
      <diagonal/>
    </border>
    <border>
      <left style="thin">
        <color indexed="18"/>
      </left>
      <right/>
      <top style="thin">
        <color indexed="64"/>
      </top>
      <bottom style="thin">
        <color indexed="18"/>
      </bottom>
      <diagonal/>
    </border>
    <border>
      <left style="thin">
        <color auto="1"/>
      </left>
      <right style="thin">
        <color auto="1"/>
      </right>
      <top style="thin">
        <color indexed="64"/>
      </top>
      <bottom/>
      <diagonal/>
    </border>
    <border>
      <left/>
      <right style="thin">
        <color indexed="18"/>
      </right>
      <top style="thin">
        <color indexed="64"/>
      </top>
      <bottom style="thin">
        <color indexed="18"/>
      </bottom>
      <diagonal/>
    </border>
    <border>
      <left style="thin">
        <color indexed="18"/>
      </left>
      <right style="thin">
        <color indexed="18"/>
      </right>
      <top style="thin">
        <color indexed="64"/>
      </top>
      <bottom style="thin">
        <color indexed="18"/>
      </bottom>
      <diagonal/>
    </border>
    <border>
      <left style="thin">
        <color indexed="18"/>
      </left>
      <right style="thin">
        <color indexed="18"/>
      </right>
      <top style="thin">
        <color indexed="64"/>
      </top>
      <bottom/>
      <diagonal/>
    </border>
    <border>
      <left style="thin">
        <color indexed="18"/>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indexed="64"/>
      </top>
      <bottom/>
      <diagonal/>
    </border>
    <border>
      <left style="thin">
        <color indexed="18"/>
      </left>
      <right style="thin">
        <color indexed="18"/>
      </right>
      <top style="thin">
        <color indexed="18"/>
      </top>
      <bottom/>
      <diagonal/>
    </border>
    <border>
      <left style="thin">
        <color indexed="64"/>
      </left>
      <right/>
      <top style="thin">
        <color indexed="64"/>
      </top>
      <bottom style="thin">
        <color indexed="18"/>
      </bottom>
      <diagonal/>
    </border>
    <border>
      <left style="thin">
        <color indexed="64"/>
      </left>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style="thin">
        <color indexed="18"/>
      </right>
      <top style="thin">
        <color indexed="18"/>
      </top>
      <bottom style="thin">
        <color indexed="18"/>
      </bottom>
      <diagonal/>
    </border>
    <border>
      <left style="thin">
        <color auto="1"/>
      </left>
      <right style="thin">
        <color auto="1"/>
      </right>
      <top style="thin">
        <color indexed="64"/>
      </top>
      <bottom style="thin">
        <color auto="1"/>
      </bottom>
      <diagonal/>
    </border>
    <border>
      <left/>
      <right/>
      <top style="thin">
        <color indexed="64"/>
      </top>
      <bottom/>
      <diagonal/>
    </border>
    <border>
      <left/>
      <right style="thin">
        <color auto="1"/>
      </right>
      <top style="thin">
        <color indexed="64"/>
      </top>
      <bottom/>
      <diagonal/>
    </border>
    <border>
      <left style="thin">
        <color indexed="64"/>
      </left>
      <right/>
      <top/>
      <bottom/>
      <diagonal/>
    </border>
    <border>
      <left style="thin">
        <color indexed="64"/>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auto="1"/>
      </left>
      <right style="thin">
        <color indexed="64"/>
      </right>
      <top style="thin">
        <color auto="1"/>
      </top>
      <bottom style="thin">
        <color auto="1"/>
      </bottom>
      <diagonal/>
    </border>
    <border>
      <left/>
      <right style="double">
        <color auto="1"/>
      </right>
      <top style="thin">
        <color auto="1"/>
      </top>
      <bottom style="double">
        <color auto="1"/>
      </bottom>
      <diagonal/>
    </border>
    <border>
      <left style="double">
        <color auto="1"/>
      </left>
      <right style="thin">
        <color indexed="64"/>
      </right>
      <top style="thin">
        <color auto="1"/>
      </top>
      <bottom style="double">
        <color auto="1"/>
      </bottom>
      <diagonal/>
    </border>
    <border>
      <left style="thin">
        <color auto="1"/>
      </left>
      <right style="thin">
        <color indexed="64"/>
      </right>
      <top style="thin">
        <color auto="1"/>
      </top>
      <bottom/>
      <diagonal/>
    </border>
    <border>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thin">
        <color indexed="18"/>
      </left>
      <right/>
      <top style="thin">
        <color indexed="18"/>
      </top>
      <bottom style="thin">
        <color indexed="18"/>
      </bottom>
      <diagonal/>
    </border>
    <border>
      <left style="thin">
        <color indexed="64"/>
      </left>
      <right style="thin">
        <color indexed="64"/>
      </right>
      <top style="thin">
        <color indexed="64"/>
      </top>
      <bottom style="thin">
        <color indexed="64"/>
      </bottom>
      <diagonal/>
    </border>
    <border>
      <left style="thin">
        <color indexed="64"/>
      </left>
      <right/>
      <top style="thin">
        <color indexed="18"/>
      </top>
      <bottom style="thin">
        <color indexed="18"/>
      </bottom>
      <diagonal/>
    </border>
    <border>
      <left/>
      <right style="thin">
        <color indexed="18"/>
      </right>
      <top style="thin">
        <color indexed="18"/>
      </top>
      <bottom style="thin">
        <color indexed="18"/>
      </bottom>
      <diagonal/>
    </border>
    <border>
      <left/>
      <right style="thin">
        <color indexed="18"/>
      </right>
      <top style="thin">
        <color indexed="18"/>
      </top>
      <bottom/>
      <diagonal/>
    </border>
    <border>
      <left style="double">
        <color auto="1"/>
      </left>
      <right/>
      <top/>
      <bottom style="thin">
        <color auto="1"/>
      </bottom>
      <diagonal/>
    </border>
    <border>
      <left/>
      <right style="double">
        <color auto="1"/>
      </right>
      <top/>
      <bottom style="thin">
        <color auto="1"/>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right style="thin">
        <color indexed="18"/>
      </right>
      <top style="thin">
        <color indexed="18"/>
      </top>
      <bottom style="thin">
        <color indexed="18"/>
      </bottom>
      <diagonal/>
    </border>
    <border>
      <left style="thin">
        <color indexed="18"/>
      </left>
      <right/>
      <top style="thin">
        <color indexed="18"/>
      </top>
      <bottom style="thin">
        <color indexed="18"/>
      </bottom>
      <diagonal/>
    </border>
  </borders>
  <cellStyleXfs count="6">
    <xf numFmtId="0" fontId="0" fillId="0" borderId="0"/>
    <xf numFmtId="43" fontId="8" fillId="0" borderId="0" applyFont="0" applyFill="0" applyBorder="0" applyAlignment="0" applyProtection="0"/>
    <xf numFmtId="164" fontId="8" fillId="0" borderId="0" applyFont="0" applyFill="0" applyBorder="0" applyAlignment="0" applyProtection="0"/>
    <xf numFmtId="41" fontId="8" fillId="0" borderId="0" applyFont="0" applyFill="0" applyBorder="0" applyAlignment="0" applyProtection="0"/>
    <xf numFmtId="43" fontId="10" fillId="0" borderId="0" applyFont="0" applyFill="0" applyBorder="0" applyAlignment="0" applyProtection="0"/>
    <xf numFmtId="0" fontId="10" fillId="0" borderId="0"/>
  </cellStyleXfs>
  <cellXfs count="1229">
    <xf numFmtId="0" fontId="0" fillId="0" borderId="0" xfId="0"/>
    <xf numFmtId="0" fontId="1" fillId="0" borderId="0" xfId="0" applyFont="1" applyAlignment="1">
      <alignment horizontal="center"/>
    </xf>
    <xf numFmtId="0" fontId="1" fillId="0" borderId="1" xfId="0" applyFont="1" applyBorder="1"/>
    <xf numFmtId="0" fontId="1" fillId="0" borderId="2" xfId="0" applyFont="1" applyBorder="1"/>
    <xf numFmtId="0" fontId="1" fillId="0" borderId="3" xfId="0" applyFont="1" applyBorder="1"/>
    <xf numFmtId="0" fontId="2" fillId="0" borderId="1" xfId="0" applyFont="1" applyBorder="1"/>
    <xf numFmtId="0" fontId="1" fillId="0" borderId="0" xfId="0" applyFont="1"/>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0" borderId="6" xfId="0" applyFont="1" applyBorder="1"/>
    <xf numFmtId="0" fontId="1" fillId="0" borderId="7" xfId="0" applyFont="1" applyBorder="1"/>
    <xf numFmtId="0" fontId="4" fillId="0" borderId="6" xfId="0" applyFont="1" applyBorder="1"/>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 fillId="0" borderId="9" xfId="0" applyFont="1" applyBorder="1"/>
    <xf numFmtId="0" fontId="1" fillId="0" borderId="10" xfId="0" applyFont="1" applyBorder="1"/>
    <xf numFmtId="0" fontId="5" fillId="0" borderId="11" xfId="0" applyFont="1" applyBorder="1" applyAlignment="1">
      <alignment horizontal="center"/>
    </xf>
    <xf numFmtId="0" fontId="6" fillId="0" borderId="0" xfId="0" applyFont="1" applyAlignment="1">
      <alignment horizontal="center"/>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1" fillId="0" borderId="8" xfId="0" applyFont="1" applyBorder="1"/>
    <xf numFmtId="0" fontId="1" fillId="0" borderId="15" xfId="0" applyFont="1" applyBorder="1" applyAlignment="1">
      <alignment horizontal="center"/>
    </xf>
    <xf numFmtId="0" fontId="7" fillId="0" borderId="16" xfId="0" applyFont="1" applyBorder="1" applyAlignment="1">
      <alignment horizontal="center"/>
    </xf>
    <xf numFmtId="0" fontId="1" fillId="0" borderId="16"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5" xfId="0" applyFont="1" applyBorder="1"/>
    <xf numFmtId="0" fontId="8" fillId="0" borderId="15" xfId="0" applyFont="1" applyBorder="1" applyAlignment="1">
      <alignment horizontal="center"/>
    </xf>
    <xf numFmtId="0" fontId="0" fillId="0" borderId="15" xfId="0" applyBorder="1"/>
    <xf numFmtId="0" fontId="0" fillId="0" borderId="14" xfId="0" applyBorder="1"/>
    <xf numFmtId="0" fontId="0" fillId="0" borderId="15" xfId="0" applyBorder="1" applyAlignment="1">
      <alignment horizontal="center"/>
    </xf>
    <xf numFmtId="0" fontId="8" fillId="0" borderId="15" xfId="0" applyFont="1" applyBorder="1"/>
    <xf numFmtId="0" fontId="8" fillId="0" borderId="18" xfId="0" applyFont="1" applyBorder="1"/>
    <xf numFmtId="0" fontId="0" fillId="0" borderId="17" xfId="0" applyBorder="1"/>
    <xf numFmtId="0" fontId="4" fillId="0" borderId="2" xfId="0" applyFont="1" applyBorder="1" applyAlignment="1">
      <alignment horizontal="center"/>
    </xf>
    <xf numFmtId="0" fontId="4" fillId="0" borderId="2" xfId="0" applyFont="1" applyBorder="1"/>
    <xf numFmtId="0" fontId="0" fillId="0" borderId="9" xfId="0" applyBorder="1"/>
    <xf numFmtId="0" fontId="0" fillId="0" borderId="10" xfId="0" applyBorder="1"/>
    <xf numFmtId="0" fontId="0" fillId="0" borderId="16"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6" xfId="0" applyBorder="1"/>
    <xf numFmtId="0" fontId="9" fillId="0" borderId="0" xfId="0" applyFont="1"/>
    <xf numFmtId="0" fontId="1" fillId="0" borderId="9" xfId="0" applyFont="1" applyBorder="1" applyAlignment="1">
      <alignment horizontal="center" vertical="center" wrapText="1"/>
    </xf>
    <xf numFmtId="0" fontId="1" fillId="0" borderId="15" xfId="0" applyFont="1" applyBorder="1" applyAlignment="1">
      <alignment horizontal="center" vertical="center" wrapText="1"/>
    </xf>
    <xf numFmtId="43" fontId="10" fillId="0" borderId="15" xfId="4" applyFont="1" applyBorder="1"/>
    <xf numFmtId="43" fontId="0" fillId="0" borderId="15" xfId="4" applyFont="1" applyBorder="1"/>
    <xf numFmtId="43" fontId="0" fillId="0" borderId="15" xfId="0" applyNumberFormat="1" applyBorder="1"/>
    <xf numFmtId="43" fontId="11" fillId="0" borderId="15" xfId="0" applyNumberFormat="1" applyFont="1" applyBorder="1"/>
    <xf numFmtId="0" fontId="0" fillId="0" borderId="0" xfId="0" applyAlignment="1">
      <alignment horizontal="center"/>
    </xf>
    <xf numFmtId="0" fontId="8" fillId="0" borderId="0" xfId="0" applyFont="1"/>
    <xf numFmtId="0" fontId="4" fillId="0" borderId="0" xfId="0" applyFont="1"/>
    <xf numFmtId="0" fontId="0" fillId="0" borderId="6" xfId="0" applyBorder="1"/>
    <xf numFmtId="0" fontId="2" fillId="0" borderId="0" xfId="0" applyFont="1"/>
    <xf numFmtId="0" fontId="5" fillId="0" borderId="0" xfId="0" applyFont="1" applyAlignment="1">
      <alignment horizontal="center"/>
    </xf>
    <xf numFmtId="0" fontId="7" fillId="0" borderId="0" xfId="0" applyFont="1" applyAlignment="1">
      <alignment horizontal="center"/>
    </xf>
    <xf numFmtId="0" fontId="1" fillId="0" borderId="0" xfId="0" applyFont="1" applyAlignment="1">
      <alignment horizontal="center" vertical="center" wrapText="1"/>
    </xf>
    <xf numFmtId="0" fontId="8" fillId="0" borderId="0" xfId="0" applyFont="1" applyAlignment="1">
      <alignment horizontal="center"/>
    </xf>
    <xf numFmtId="0" fontId="0" fillId="0" borderId="0" xfId="0" applyAlignment="1">
      <alignment horizontal="left"/>
    </xf>
    <xf numFmtId="0" fontId="12" fillId="0" borderId="0" xfId="0" applyFont="1"/>
    <xf numFmtId="0" fontId="13" fillId="0" borderId="0" xfId="0" applyFont="1" applyAlignment="1">
      <alignment horizontal="center"/>
    </xf>
    <xf numFmtId="0" fontId="13" fillId="0" borderId="0" xfId="0" applyFont="1"/>
    <xf numFmtId="0" fontId="14" fillId="0" borderId="0" xfId="0" applyFont="1" applyAlignment="1">
      <alignment horizontal="center"/>
    </xf>
    <xf numFmtId="0" fontId="14" fillId="0" borderId="0" xfId="0" applyFont="1"/>
    <xf numFmtId="0" fontId="3" fillId="0" borderId="10" xfId="0" applyFont="1" applyBorder="1" applyAlignment="1">
      <alignment horizontal="center" vertical="center" wrapText="1"/>
    </xf>
    <xf numFmtId="43" fontId="10" fillId="0" borderId="0" xfId="4" applyFont="1" applyBorder="1"/>
    <xf numFmtId="43" fontId="10" fillId="2" borderId="0" xfId="4" applyFont="1" applyFill="1" applyBorder="1"/>
    <xf numFmtId="43" fontId="0" fillId="0" borderId="0" xfId="4" applyFont="1" applyBorder="1"/>
    <xf numFmtId="43" fontId="0" fillId="2" borderId="0" xfId="4" applyFont="1" applyFill="1" applyBorder="1"/>
    <xf numFmtId="43" fontId="0" fillId="0" borderId="0" xfId="0" applyNumberFormat="1"/>
    <xf numFmtId="43" fontId="11" fillId="0" borderId="0" xfId="0" applyNumberFormat="1" applyFont="1"/>
    <xf numFmtId="0" fontId="11" fillId="0" borderId="0" xfId="0" applyFont="1" applyAlignment="1">
      <alignment horizontal="center"/>
    </xf>
    <xf numFmtId="0" fontId="11" fillId="0" borderId="0" xfId="0" applyFont="1"/>
    <xf numFmtId="43" fontId="15" fillId="0" borderId="0" xfId="0" applyNumberFormat="1" applyFont="1" applyAlignment="1">
      <alignment horizontal="left"/>
    </xf>
    <xf numFmtId="0" fontId="15" fillId="0" borderId="0" xfId="0" applyFont="1" applyAlignment="1">
      <alignment horizontal="left"/>
    </xf>
    <xf numFmtId="0" fontId="11" fillId="0" borderId="0" xfId="0" applyFont="1" applyAlignment="1">
      <alignment horizontal="left"/>
    </xf>
    <xf numFmtId="165" fontId="15" fillId="0" borderId="0" xfId="0" applyNumberFormat="1" applyFont="1" applyAlignment="1">
      <alignment horizontal="left"/>
    </xf>
    <xf numFmtId="0" fontId="15" fillId="0" borderId="0" xfId="0" applyFont="1"/>
    <xf numFmtId="0" fontId="15" fillId="0" borderId="10" xfId="0" applyFont="1" applyBorder="1"/>
    <xf numFmtId="43" fontId="15" fillId="0" borderId="0" xfId="4" applyFont="1" applyFill="1" applyBorder="1"/>
    <xf numFmtId="43" fontId="15" fillId="0" borderId="0" xfId="0" applyNumberFormat="1" applyFont="1"/>
    <xf numFmtId="0" fontId="15" fillId="0" borderId="20" xfId="0" applyFont="1" applyBorder="1"/>
    <xf numFmtId="0" fontId="11" fillId="0" borderId="10" xfId="0" applyFont="1" applyBorder="1"/>
    <xf numFmtId="2" fontId="11" fillId="0" borderId="0" xfId="0" applyNumberFormat="1" applyFont="1"/>
    <xf numFmtId="0" fontId="11" fillId="0" borderId="20" xfId="0" applyFont="1" applyBorder="1"/>
    <xf numFmtId="4" fontId="11" fillId="0" borderId="0" xfId="0" applyNumberFormat="1" applyFont="1"/>
    <xf numFmtId="1" fontId="11" fillId="0" borderId="0" xfId="0" applyNumberFormat="1" applyFont="1"/>
    <xf numFmtId="43" fontId="11" fillId="0" borderId="0" xfId="4" applyFont="1" applyFill="1" applyBorder="1"/>
    <xf numFmtId="43" fontId="15" fillId="0" borderId="0" xfId="4" applyFont="1" applyFill="1"/>
    <xf numFmtId="0" fontId="15" fillId="0" borderId="0" xfId="0" applyFont="1" applyAlignment="1">
      <alignment horizontal="center"/>
    </xf>
    <xf numFmtId="2" fontId="15" fillId="0" borderId="0" xfId="0" applyNumberFormat="1" applyFont="1"/>
    <xf numFmtId="43" fontId="11" fillId="0" borderId="0" xfId="0" applyNumberFormat="1" applyFont="1" applyAlignment="1">
      <alignment horizontal="right"/>
    </xf>
    <xf numFmtId="43" fontId="11" fillId="0" borderId="0" xfId="4" applyFont="1" applyFill="1"/>
    <xf numFmtId="4" fontId="15" fillId="0" borderId="0" xfId="0" applyNumberFormat="1" applyFont="1"/>
    <xf numFmtId="0" fontId="16" fillId="0" borderId="0" xfId="0" applyFont="1"/>
    <xf numFmtId="43" fontId="15" fillId="0" borderId="0" xfId="0" applyNumberFormat="1" applyFont="1" applyAlignment="1">
      <alignment horizontal="center"/>
    </xf>
    <xf numFmtId="2" fontId="11" fillId="0" borderId="10" xfId="0" applyNumberFormat="1" applyFont="1" applyBorder="1"/>
    <xf numFmtId="43" fontId="11" fillId="0" borderId="0" xfId="0" applyNumberFormat="1" applyFont="1" applyAlignment="1">
      <alignment horizontal="center"/>
    </xf>
    <xf numFmtId="39" fontId="11" fillId="0" borderId="0" xfId="4" applyNumberFormat="1" applyFont="1" applyFill="1" applyAlignment="1">
      <alignment horizontal="right"/>
    </xf>
    <xf numFmtId="43" fontId="11" fillId="0" borderId="10" xfId="0" applyNumberFormat="1" applyFont="1" applyBorder="1"/>
    <xf numFmtId="0" fontId="15" fillId="0" borderId="2" xfId="0" applyFont="1" applyBorder="1"/>
    <xf numFmtId="4" fontId="15" fillId="0" borderId="0" xfId="0" applyNumberFormat="1" applyFont="1" applyAlignment="1">
      <alignment horizontal="right"/>
    </xf>
    <xf numFmtId="0" fontId="11" fillId="0" borderId="2" xfId="0" applyFont="1" applyBorder="1"/>
    <xf numFmtId="4" fontId="11" fillId="0" borderId="0" xfId="0" applyNumberFormat="1" applyFont="1" applyAlignment="1">
      <alignment horizontal="right"/>
    </xf>
    <xf numFmtId="0" fontId="17" fillId="0" borderId="0" xfId="0" applyFont="1"/>
    <xf numFmtId="0" fontId="18" fillId="0" borderId="0" xfId="0" applyFont="1" applyAlignment="1">
      <alignment horizontal="center"/>
    </xf>
    <xf numFmtId="0" fontId="18" fillId="0" borderId="0" xfId="0" applyFont="1"/>
    <xf numFmtId="0" fontId="19" fillId="0" borderId="0" xfId="0" applyFont="1" applyAlignment="1">
      <alignment horizontal="center"/>
    </xf>
    <xf numFmtId="0" fontId="10" fillId="0" borderId="0" xfId="0" applyFont="1"/>
    <xf numFmtId="0" fontId="20" fillId="0" borderId="0" xfId="0" applyFont="1"/>
    <xf numFmtId="0" fontId="20" fillId="0" borderId="15" xfId="0" applyFont="1" applyBorder="1"/>
    <xf numFmtId="0" fontId="13" fillId="0" borderId="15" xfId="0" applyFont="1" applyBorder="1" applyAlignment="1">
      <alignment horizontal="center"/>
    </xf>
    <xf numFmtId="0" fontId="24" fillId="0" borderId="0" xfId="0" applyFont="1" applyAlignment="1">
      <alignment horizontal="center"/>
    </xf>
    <xf numFmtId="0" fontId="25" fillId="0" borderId="0" xfId="0" applyFont="1" applyAlignment="1">
      <alignment horizontal="center"/>
    </xf>
    <xf numFmtId="0" fontId="10" fillId="0" borderId="0" xfId="0" applyFont="1" applyAlignment="1">
      <alignment horizontal="left"/>
    </xf>
    <xf numFmtId="0" fontId="16" fillId="0" borderId="0" xfId="0" applyFont="1" applyAlignment="1">
      <alignment horizontal="center"/>
    </xf>
    <xf numFmtId="0" fontId="10" fillId="0" borderId="0" xfId="0" applyFont="1" applyAlignment="1">
      <alignment horizontal="center"/>
    </xf>
    <xf numFmtId="0" fontId="28" fillId="2" borderId="0" xfId="0" applyFont="1" applyFill="1"/>
    <xf numFmtId="0" fontId="29" fillId="2" borderId="0" xfId="0" applyFont="1" applyFill="1"/>
    <xf numFmtId="0" fontId="0" fillId="2" borderId="0" xfId="0" applyFill="1"/>
    <xf numFmtId="0" fontId="31" fillId="2" borderId="0" xfId="0" applyFont="1" applyFill="1" applyAlignment="1">
      <alignment horizontal="center"/>
    </xf>
    <xf numFmtId="0" fontId="31" fillId="2" borderId="0" xfId="0" applyFont="1" applyFill="1"/>
    <xf numFmtId="0" fontId="31" fillId="2" borderId="14" xfId="0" applyFont="1" applyFill="1" applyBorder="1" applyAlignment="1">
      <alignment horizontal="center" vertical="center" wrapText="1"/>
    </xf>
    <xf numFmtId="0" fontId="31" fillId="2" borderId="23" xfId="0" applyFont="1" applyFill="1" applyBorder="1" applyAlignment="1">
      <alignment horizontal="center"/>
    </xf>
    <xf numFmtId="0" fontId="29" fillId="2" borderId="15" xfId="0" applyFont="1" applyFill="1" applyBorder="1" applyAlignment="1">
      <alignment horizontal="center"/>
    </xf>
    <xf numFmtId="2" fontId="31" fillId="2" borderId="23" xfId="0" applyNumberFormat="1" applyFont="1" applyFill="1" applyBorder="1"/>
    <xf numFmtId="166" fontId="31" fillId="2" borderId="23" xfId="3" applyNumberFormat="1" applyFont="1" applyFill="1" applyBorder="1" applyAlignment="1">
      <alignment horizontal="center"/>
    </xf>
    <xf numFmtId="41" fontId="31" fillId="2" borderId="23" xfId="3" applyFont="1" applyFill="1" applyBorder="1" applyAlignment="1">
      <alignment horizontal="center"/>
    </xf>
    <xf numFmtId="166" fontId="31" fillId="2" borderId="23" xfId="3" applyNumberFormat="1" applyFont="1" applyFill="1" applyBorder="1"/>
    <xf numFmtId="43" fontId="31" fillId="2" borderId="23" xfId="4" applyFont="1" applyFill="1" applyBorder="1" applyAlignment="1">
      <alignment horizontal="center"/>
    </xf>
    <xf numFmtId="43" fontId="30" fillId="2" borderId="23" xfId="4" applyFont="1" applyFill="1" applyBorder="1"/>
    <xf numFmtId="0" fontId="33" fillId="2" borderId="0" xfId="0" applyFont="1" applyFill="1"/>
    <xf numFmtId="2" fontId="33" fillId="2" borderId="0" xfId="0" applyNumberFormat="1" applyFont="1" applyFill="1"/>
    <xf numFmtId="166" fontId="33" fillId="2" borderId="0" xfId="3" applyNumberFormat="1" applyFont="1" applyFill="1" applyBorder="1" applyAlignment="1">
      <alignment horizontal="center"/>
    </xf>
    <xf numFmtId="166" fontId="33" fillId="2" borderId="0" xfId="3" applyNumberFormat="1" applyFont="1" applyFill="1" applyBorder="1"/>
    <xf numFmtId="0" fontId="33" fillId="2" borderId="0" xfId="0" applyFont="1" applyFill="1" applyAlignment="1">
      <alignment horizontal="center"/>
    </xf>
    <xf numFmtId="0" fontId="15" fillId="2" borderId="0" xfId="0" applyFont="1" applyFill="1" applyAlignment="1">
      <alignment horizontal="center"/>
    </xf>
    <xf numFmtId="0" fontId="11" fillId="2" borderId="0" xfId="0" applyFont="1" applyFill="1" applyAlignment="1">
      <alignment horizontal="center"/>
    </xf>
    <xf numFmtId="0" fontId="32" fillId="2" borderId="0" xfId="0" applyFont="1" applyFill="1" applyAlignment="1">
      <alignment horizontal="center"/>
    </xf>
    <xf numFmtId="166" fontId="31" fillId="2" borderId="0" xfId="3" applyNumberFormat="1" applyFont="1" applyFill="1" applyBorder="1"/>
    <xf numFmtId="166" fontId="31" fillId="2" borderId="0" xfId="3" applyNumberFormat="1" applyFont="1" applyFill="1" applyBorder="1" applyAlignment="1">
      <alignment horizontal="center"/>
    </xf>
    <xf numFmtId="0" fontId="32" fillId="2" borderId="24" xfId="0" applyFont="1" applyFill="1" applyBorder="1" applyAlignment="1">
      <alignment horizontal="center" vertical="center" wrapText="1"/>
    </xf>
    <xf numFmtId="0" fontId="32" fillId="2" borderId="25" xfId="0" applyFont="1" applyFill="1" applyBorder="1" applyAlignment="1">
      <alignment horizontal="center" vertical="center" wrapText="1"/>
    </xf>
    <xf numFmtId="43" fontId="31" fillId="2" borderId="23" xfId="4" applyFont="1" applyFill="1" applyBorder="1"/>
    <xf numFmtId="43" fontId="31" fillId="2" borderId="23" xfId="3" applyNumberFormat="1" applyFont="1" applyFill="1" applyBorder="1" applyAlignment="1">
      <alignment horizontal="center"/>
    </xf>
    <xf numFmtId="43" fontId="32" fillId="2" borderId="23" xfId="4" applyFont="1" applyFill="1" applyBorder="1"/>
    <xf numFmtId="43" fontId="31" fillId="2" borderId="21" xfId="4" applyFont="1" applyFill="1" applyBorder="1"/>
    <xf numFmtId="0" fontId="29" fillId="2" borderId="15" xfId="0" applyFont="1" applyFill="1" applyBorder="1"/>
    <xf numFmtId="166" fontId="31" fillId="2" borderId="22" xfId="3" applyNumberFormat="1" applyFont="1" applyFill="1" applyBorder="1" applyAlignment="1">
      <alignment horizontal="center"/>
    </xf>
    <xf numFmtId="2" fontId="29" fillId="2" borderId="15" xfId="0" applyNumberFormat="1" applyFont="1" applyFill="1" applyBorder="1"/>
    <xf numFmtId="41" fontId="33" fillId="2" borderId="0" xfId="3" applyFont="1" applyFill="1" applyBorder="1"/>
    <xf numFmtId="41" fontId="33" fillId="2" borderId="0" xfId="3" applyFont="1" applyFill="1" applyBorder="1" applyAlignment="1">
      <alignment horizontal="center"/>
    </xf>
    <xf numFmtId="0" fontId="34" fillId="2" borderId="0" xfId="0" applyFont="1" applyFill="1"/>
    <xf numFmtId="43" fontId="35" fillId="2" borderId="0" xfId="4" applyFont="1" applyFill="1" applyBorder="1"/>
    <xf numFmtId="43" fontId="33" fillId="2" borderId="0" xfId="4" applyFont="1" applyFill="1" applyBorder="1"/>
    <xf numFmtId="43" fontId="31" fillId="2" borderId="0" xfId="4" applyFont="1" applyFill="1" applyBorder="1"/>
    <xf numFmtId="2" fontId="31" fillId="2" borderId="23" xfId="0" applyNumberFormat="1" applyFont="1" applyFill="1" applyBorder="1" applyAlignment="1">
      <alignment horizontal="right"/>
    </xf>
    <xf numFmtId="167" fontId="31" fillId="2" borderId="23" xfId="4" applyNumberFormat="1" applyFont="1" applyFill="1" applyBorder="1" applyAlignment="1">
      <alignment horizontal="center"/>
    </xf>
    <xf numFmtId="166" fontId="30" fillId="2" borderId="23" xfId="3" applyNumberFormat="1" applyFont="1" applyFill="1" applyBorder="1"/>
    <xf numFmtId="0" fontId="8" fillId="2" borderId="0" xfId="0" applyFont="1" applyFill="1"/>
    <xf numFmtId="0" fontId="13" fillId="2" borderId="0" xfId="0" applyFont="1" applyFill="1" applyAlignment="1">
      <alignment horizontal="center"/>
    </xf>
    <xf numFmtId="0" fontId="36" fillId="2" borderId="0" xfId="0" applyFont="1" applyFill="1"/>
    <xf numFmtId="2" fontId="36" fillId="2" borderId="0" xfId="0" applyNumberFormat="1" applyFont="1" applyFill="1"/>
    <xf numFmtId="166" fontId="36" fillId="2" borderId="0" xfId="3" applyNumberFormat="1" applyFont="1" applyFill="1" applyBorder="1"/>
    <xf numFmtId="166" fontId="36" fillId="2" borderId="0" xfId="3" applyNumberFormat="1" applyFont="1" applyFill="1" applyBorder="1" applyAlignment="1">
      <alignment horizontal="center"/>
    </xf>
    <xf numFmtId="0" fontId="37" fillId="2" borderId="0" xfId="0" applyFont="1" applyFill="1"/>
    <xf numFmtId="43" fontId="38" fillId="2" borderId="0" xfId="1" applyFont="1" applyFill="1" applyBorder="1" applyAlignment="1">
      <alignment horizontal="center"/>
    </xf>
    <xf numFmtId="0" fontId="38" fillId="2" borderId="0" xfId="0" applyFont="1" applyFill="1" applyAlignment="1">
      <alignment horizontal="center"/>
    </xf>
    <xf numFmtId="0" fontId="39" fillId="2" borderId="0" xfId="0" applyFont="1" applyFill="1" applyAlignment="1">
      <alignment horizontal="center"/>
    </xf>
    <xf numFmtId="0" fontId="41" fillId="2" borderId="0" xfId="0" applyFont="1" applyFill="1" applyAlignment="1">
      <alignment horizontal="center"/>
    </xf>
    <xf numFmtId="0" fontId="41" fillId="2" borderId="0" xfId="0" applyFont="1" applyFill="1"/>
    <xf numFmtId="0" fontId="33" fillId="2" borderId="0" xfId="0" applyFont="1" applyFill="1" applyAlignment="1">
      <alignment horizontal="center" vertical="center" wrapText="1"/>
    </xf>
    <xf numFmtId="0" fontId="11" fillId="2" borderId="0" xfId="0" applyFont="1" applyFill="1" applyAlignment="1">
      <alignment horizontal="center" vertical="center" wrapText="1"/>
    </xf>
    <xf numFmtId="166" fontId="31" fillId="2" borderId="23" xfId="3" applyNumberFormat="1" applyFont="1" applyFill="1" applyBorder="1" applyAlignment="1">
      <alignment horizontal="center" wrapText="1"/>
    </xf>
    <xf numFmtId="0" fontId="29" fillId="2" borderId="0" xfId="0" applyFont="1" applyFill="1" applyAlignment="1">
      <alignment horizontal="center"/>
    </xf>
    <xf numFmtId="167" fontId="36" fillId="2" borderId="0" xfId="3" applyNumberFormat="1" applyFont="1" applyFill="1" applyBorder="1" applyAlignment="1">
      <alignment horizontal="left"/>
    </xf>
    <xf numFmtId="0" fontId="45" fillId="2" borderId="0" xfId="0" applyFont="1" applyFill="1" applyAlignment="1">
      <alignment horizontal="center"/>
    </xf>
    <xf numFmtId="166" fontId="36" fillId="2" borderId="0" xfId="3" applyNumberFormat="1" applyFont="1" applyFill="1" applyBorder="1" applyAlignment="1">
      <alignment horizontal="center" wrapText="1"/>
    </xf>
    <xf numFmtId="41" fontId="36" fillId="2" borderId="0" xfId="3" applyFont="1" applyFill="1" applyBorder="1" applyAlignment="1">
      <alignment horizontal="center"/>
    </xf>
    <xf numFmtId="0" fontId="13" fillId="2" borderId="0" xfId="0" applyFont="1" applyFill="1"/>
    <xf numFmtId="0" fontId="27" fillId="2" borderId="0" xfId="0" applyFont="1" applyFill="1" applyAlignment="1">
      <alignment horizontal="center"/>
    </xf>
    <xf numFmtId="167" fontId="33" fillId="2" borderId="0" xfId="3" applyNumberFormat="1" applyFont="1" applyFill="1" applyBorder="1"/>
    <xf numFmtId="43" fontId="11" fillId="2" borderId="0" xfId="4" applyFont="1" applyFill="1" applyBorder="1"/>
    <xf numFmtId="43" fontId="29" fillId="2" borderId="0" xfId="0" applyNumberFormat="1" applyFont="1" applyFill="1"/>
    <xf numFmtId="0" fontId="42" fillId="2" borderId="0" xfId="0" applyFont="1" applyFill="1"/>
    <xf numFmtId="43" fontId="42" fillId="2" borderId="0" xfId="4" applyFont="1" applyFill="1" applyBorder="1"/>
    <xf numFmtId="167" fontId="42" fillId="2" borderId="0" xfId="4" applyNumberFormat="1" applyFont="1" applyFill="1" applyBorder="1"/>
    <xf numFmtId="0" fontId="35" fillId="2" borderId="0" xfId="0" applyFont="1" applyFill="1"/>
    <xf numFmtId="43" fontId="33" fillId="2" borderId="0" xfId="4" applyFont="1" applyFill="1" applyBorder="1" applyAlignment="1">
      <alignment horizontal="center"/>
    </xf>
    <xf numFmtId="2" fontId="33" fillId="2" borderId="0" xfId="0" applyNumberFormat="1" applyFont="1" applyFill="1" applyAlignment="1">
      <alignment horizontal="right"/>
    </xf>
    <xf numFmtId="167" fontId="33" fillId="2" borderId="0" xfId="4" applyNumberFormat="1" applyFont="1" applyFill="1" applyBorder="1" applyAlignment="1">
      <alignment horizontal="center"/>
    </xf>
    <xf numFmtId="166" fontId="42" fillId="2" borderId="0" xfId="3" applyNumberFormat="1" applyFont="1" applyFill="1" applyBorder="1"/>
    <xf numFmtId="37" fontId="42" fillId="2" borderId="0" xfId="4" applyNumberFormat="1" applyFont="1" applyFill="1" applyBorder="1"/>
    <xf numFmtId="43" fontId="40" fillId="2" borderId="0" xfId="4" applyFont="1" applyFill="1" applyBorder="1"/>
    <xf numFmtId="0" fontId="18" fillId="0" borderId="0" xfId="0" applyFont="1" applyAlignment="1">
      <alignment horizontal="right"/>
    </xf>
    <xf numFmtId="4" fontId="18" fillId="0" borderId="0" xfId="4" applyNumberFormat="1" applyFont="1" applyFill="1" applyAlignment="1">
      <alignment horizontal="right"/>
    </xf>
    <xf numFmtId="4" fontId="18" fillId="2" borderId="15" xfId="0" applyNumberFormat="1" applyFont="1" applyFill="1" applyBorder="1" applyAlignment="1">
      <alignment horizontal="right"/>
    </xf>
    <xf numFmtId="0" fontId="46" fillId="0" borderId="0" xfId="0" applyFont="1" applyAlignment="1">
      <alignment horizontal="center"/>
    </xf>
    <xf numFmtId="0" fontId="10" fillId="0" borderId="15" xfId="0" applyFont="1" applyBorder="1"/>
    <xf numFmtId="4" fontId="18" fillId="2" borderId="15" xfId="4" applyNumberFormat="1" applyFont="1" applyFill="1" applyBorder="1" applyAlignment="1">
      <alignment horizontal="right"/>
    </xf>
    <xf numFmtId="4" fontId="18" fillId="2" borderId="15" xfId="4" applyNumberFormat="1" applyFont="1" applyFill="1" applyBorder="1"/>
    <xf numFmtId="43" fontId="12" fillId="0" borderId="20" xfId="1" applyFont="1" applyFill="1" applyBorder="1" applyProtection="1">
      <protection locked="0"/>
    </xf>
    <xf numFmtId="4" fontId="18" fillId="2" borderId="15" xfId="0" applyNumberFormat="1" applyFont="1" applyFill="1" applyBorder="1"/>
    <xf numFmtId="43" fontId="47" fillId="0" borderId="0" xfId="4" applyFont="1" applyFill="1" applyAlignment="1">
      <alignment vertical="center"/>
    </xf>
    <xf numFmtId="0" fontId="10" fillId="0" borderId="15" xfId="0" applyFont="1" applyBorder="1" applyAlignment="1">
      <alignment horizontal="left"/>
    </xf>
    <xf numFmtId="0" fontId="48" fillId="0" borderId="15" xfId="0" applyFont="1" applyBorder="1"/>
    <xf numFmtId="0" fontId="20" fillId="0" borderId="15" xfId="0" applyFont="1" applyBorder="1" applyAlignment="1">
      <alignment horizontal="center"/>
    </xf>
    <xf numFmtId="4" fontId="18" fillId="0" borderId="0" xfId="0" applyNumberFormat="1" applyFont="1" applyAlignment="1">
      <alignment horizontal="right"/>
    </xf>
    <xf numFmtId="0" fontId="49" fillId="0" borderId="0" xfId="0" applyFont="1"/>
    <xf numFmtId="4" fontId="18" fillId="0" borderId="0" xfId="4" applyNumberFormat="1" applyFont="1" applyFill="1"/>
    <xf numFmtId="4" fontId="18" fillId="0" borderId="0" xfId="0" applyNumberFormat="1" applyFont="1"/>
    <xf numFmtId="0" fontId="21" fillId="0" borderId="0" xfId="0" applyFont="1"/>
    <xf numFmtId="43" fontId="22" fillId="0" borderId="0" xfId="4" applyFont="1" applyFill="1" applyBorder="1" applyAlignment="1" applyProtection="1">
      <alignment shrinkToFit="1"/>
      <protection locked="0"/>
    </xf>
    <xf numFmtId="0" fontId="22" fillId="0" borderId="0" xfId="0" applyFont="1"/>
    <xf numFmtId="43" fontId="22" fillId="0" borderId="0" xfId="4" applyFont="1" applyFill="1" applyBorder="1" applyProtection="1">
      <protection locked="0"/>
    </xf>
    <xf numFmtId="43" fontId="22" fillId="2" borderId="0" xfId="4" applyFont="1" applyFill="1" applyBorder="1"/>
    <xf numFmtId="43" fontId="10" fillId="0" borderId="0" xfId="0" applyNumberFormat="1" applyFont="1"/>
    <xf numFmtId="0" fontId="21" fillId="0" borderId="0" xfId="0" applyFont="1" applyProtection="1">
      <protection locked="0"/>
    </xf>
    <xf numFmtId="0" fontId="48" fillId="0" borderId="0" xfId="0" applyFont="1"/>
    <xf numFmtId="43" fontId="48" fillId="2" borderId="0" xfId="4" applyFont="1" applyFill="1" applyBorder="1"/>
    <xf numFmtId="43" fontId="54" fillId="2" borderId="0" xfId="0" applyNumberFormat="1" applyFont="1" applyFill="1"/>
    <xf numFmtId="0" fontId="55" fillId="0" borderId="0" xfId="0" applyFont="1"/>
    <xf numFmtId="43" fontId="56" fillId="2" borderId="0" xfId="1" applyFont="1" applyFill="1" applyBorder="1"/>
    <xf numFmtId="43" fontId="48" fillId="2" borderId="0" xfId="0" applyNumberFormat="1" applyFont="1" applyFill="1"/>
    <xf numFmtId="0" fontId="47" fillId="0" borderId="0" xfId="0" applyFont="1" applyAlignment="1">
      <alignment horizontal="center"/>
    </xf>
    <xf numFmtId="168" fontId="47" fillId="0" borderId="0" xfId="0" applyNumberFormat="1" applyFont="1"/>
    <xf numFmtId="0" fontId="57" fillId="0" borderId="0" xfId="0" applyFont="1"/>
    <xf numFmtId="0" fontId="50" fillId="0" borderId="0" xfId="0" applyFont="1" applyAlignment="1" applyProtection="1">
      <alignment horizontal="left"/>
      <protection locked="0"/>
    </xf>
    <xf numFmtId="0" fontId="50" fillId="0" borderId="0" xfId="0" applyFont="1" applyAlignment="1">
      <alignment horizontal="left"/>
    </xf>
    <xf numFmtId="0" fontId="50" fillId="0" borderId="0" xfId="0" applyFont="1" applyProtection="1">
      <protection locked="0"/>
    </xf>
    <xf numFmtId="0" fontId="50" fillId="0" borderId="0" xfId="0" applyFont="1" applyAlignment="1" applyProtection="1">
      <alignment horizontal="center" vertical="center"/>
      <protection locked="0"/>
    </xf>
    <xf numFmtId="43" fontId="10" fillId="0" borderId="0" xfId="2" applyNumberFormat="1" applyFont="1" applyFill="1" applyBorder="1"/>
    <xf numFmtId="164" fontId="23" fillId="0" borderId="0" xfId="0" applyNumberFormat="1" applyFont="1" applyAlignment="1">
      <alignment horizontal="center"/>
    </xf>
    <xf numFmtId="1" fontId="10" fillId="0" borderId="0" xfId="0" applyNumberFormat="1" applyFont="1" applyAlignment="1">
      <alignment horizontal="center"/>
    </xf>
    <xf numFmtId="49" fontId="10" fillId="0" borderId="0" xfId="0" applyNumberFormat="1" applyFont="1"/>
    <xf numFmtId="0" fontId="11" fillId="0" borderId="19" xfId="0" applyFont="1" applyBorder="1"/>
    <xf numFmtId="0" fontId="11" fillId="0" borderId="18" xfId="0" applyFont="1" applyBorder="1"/>
    <xf numFmtId="0" fontId="11" fillId="0" borderId="14" xfId="0" applyFont="1" applyBorder="1" applyAlignment="1">
      <alignment horizontal="center"/>
    </xf>
    <xf numFmtId="0" fontId="11" fillId="0" borderId="17" xfId="0" applyFont="1" applyBorder="1" applyAlignment="1">
      <alignment horizontal="center"/>
    </xf>
    <xf numFmtId="0" fontId="11" fillId="0" borderId="15" xfId="0" applyFont="1" applyBorder="1"/>
    <xf numFmtId="0" fontId="11" fillId="0" borderId="15" xfId="0" applyFont="1" applyBorder="1" applyAlignment="1">
      <alignment horizontal="center"/>
    </xf>
    <xf numFmtId="14" fontId="11" fillId="0" borderId="15" xfId="0" applyNumberFormat="1" applyFont="1" applyBorder="1" applyAlignment="1">
      <alignment horizontal="center"/>
    </xf>
    <xf numFmtId="43" fontId="11" fillId="0" borderId="15" xfId="4" applyFont="1" applyFill="1" applyBorder="1"/>
    <xf numFmtId="0" fontId="11" fillId="2" borderId="18" xfId="0" applyFont="1" applyFill="1" applyBorder="1"/>
    <xf numFmtId="0" fontId="11" fillId="2" borderId="15" xfId="0" applyFont="1" applyFill="1" applyBorder="1"/>
    <xf numFmtId="0" fontId="11" fillId="2" borderId="15" xfId="0" applyFont="1" applyFill="1" applyBorder="1" applyAlignment="1">
      <alignment horizontal="center"/>
    </xf>
    <xf numFmtId="14" fontId="11" fillId="2" borderId="15" xfId="0" applyNumberFormat="1" applyFont="1" applyFill="1" applyBorder="1" applyAlignment="1">
      <alignment horizontal="center"/>
    </xf>
    <xf numFmtId="0" fontId="60" fillId="0" borderId="15" xfId="0" applyFont="1" applyBorder="1" applyAlignment="1">
      <alignment horizontal="center"/>
    </xf>
    <xf numFmtId="0" fontId="15" fillId="0" borderId="18" xfId="0" applyFont="1" applyBorder="1"/>
    <xf numFmtId="0" fontId="15" fillId="0" borderId="15" xfId="0" applyFont="1" applyBorder="1"/>
    <xf numFmtId="43" fontId="15" fillId="0" borderId="15" xfId="0" applyNumberFormat="1" applyFont="1" applyBorder="1"/>
    <xf numFmtId="0" fontId="15" fillId="2" borderId="15" xfId="0" applyFont="1" applyFill="1" applyBorder="1"/>
    <xf numFmtId="14" fontId="11" fillId="0" borderId="0" xfId="0" applyNumberFormat="1" applyFont="1" applyAlignment="1">
      <alignment horizontal="center"/>
    </xf>
    <xf numFmtId="0" fontId="58" fillId="0" borderId="0" xfId="0" applyFont="1"/>
    <xf numFmtId="43" fontId="26" fillId="0" borderId="0" xfId="4" applyFont="1" applyFill="1" applyAlignment="1"/>
    <xf numFmtId="43" fontId="27" fillId="0" borderId="0" xfId="4" applyFont="1" applyFill="1" applyAlignment="1"/>
    <xf numFmtId="43" fontId="10" fillId="0" borderId="0" xfId="4" applyFont="1" applyFill="1" applyAlignment="1"/>
    <xf numFmtId="0" fontId="60" fillId="0" borderId="0" xfId="0" applyFont="1"/>
    <xf numFmtId="0" fontId="60" fillId="0" borderId="0" xfId="0" applyFont="1" applyAlignment="1">
      <alignment horizontal="center"/>
    </xf>
    <xf numFmtId="4" fontId="11" fillId="0" borderId="0" xfId="0" applyNumberFormat="1" applyFont="1" applyAlignment="1">
      <alignment horizontal="center"/>
    </xf>
    <xf numFmtId="0" fontId="60" fillId="0" borderId="0" xfId="0" applyFont="1" applyAlignment="1">
      <alignment horizontal="left"/>
    </xf>
    <xf numFmtId="2" fontId="11" fillId="0" borderId="0" xfId="0" applyNumberFormat="1" applyFont="1" applyAlignment="1">
      <alignment horizontal="center"/>
    </xf>
    <xf numFmtId="0" fontId="61" fillId="0" borderId="0" xfId="0" applyFont="1" applyAlignment="1">
      <alignment horizontal="center"/>
    </xf>
    <xf numFmtId="4" fontId="15" fillId="0" borderId="0" xfId="4" applyNumberFormat="1" applyFont="1" applyFill="1" applyBorder="1" applyAlignment="1">
      <alignment horizontal="center"/>
    </xf>
    <xf numFmtId="4" fontId="15" fillId="0" borderId="0" xfId="0" applyNumberFormat="1" applyFont="1" applyAlignment="1">
      <alignment horizontal="center"/>
    </xf>
    <xf numFmtId="0" fontId="62" fillId="0" borderId="0" xfId="0" applyFont="1"/>
    <xf numFmtId="0" fontId="63" fillId="0" borderId="0" xfId="0" applyFont="1"/>
    <xf numFmtId="0" fontId="51" fillId="0" borderId="0" xfId="0" applyFont="1"/>
    <xf numFmtId="0" fontId="64" fillId="0" borderId="0" xfId="0" applyFont="1"/>
    <xf numFmtId="0" fontId="65" fillId="0" borderId="0" xfId="0" applyFont="1"/>
    <xf numFmtId="43" fontId="26" fillId="0" borderId="0" xfId="4" applyFont="1" applyFill="1" applyBorder="1" applyAlignment="1"/>
    <xf numFmtId="43" fontId="27" fillId="0" borderId="0" xfId="4" applyFont="1" applyFill="1" applyBorder="1" applyAlignment="1"/>
    <xf numFmtId="43" fontId="10" fillId="0" borderId="0" xfId="4" applyFont="1" applyFill="1" applyBorder="1" applyAlignment="1"/>
    <xf numFmtId="0" fontId="66" fillId="0" borderId="0" xfId="0" applyFont="1"/>
    <xf numFmtId="0" fontId="67" fillId="0" borderId="0" xfId="0" applyFont="1"/>
    <xf numFmtId="0" fontId="68" fillId="0" borderId="0" xfId="0" applyFont="1"/>
    <xf numFmtId="0" fontId="9" fillId="0" borderId="15" xfId="0" applyFont="1" applyBorder="1"/>
    <xf numFmtId="4" fontId="59" fillId="0" borderId="0" xfId="0" applyNumberFormat="1" applyFont="1"/>
    <xf numFmtId="0" fontId="59" fillId="0" borderId="0" xfId="0" applyFont="1"/>
    <xf numFmtId="0" fontId="69" fillId="0" borderId="0" xfId="0" applyFont="1"/>
    <xf numFmtId="49" fontId="69" fillId="0" borderId="0" xfId="0" applyNumberFormat="1" applyFont="1"/>
    <xf numFmtId="0" fontId="70" fillId="0" borderId="0" xfId="0" applyFont="1"/>
    <xf numFmtId="4" fontId="9" fillId="0" borderId="0" xfId="0" applyNumberFormat="1" applyFont="1"/>
    <xf numFmtId="4" fontId="69" fillId="0" borderId="0" xfId="0" applyNumberFormat="1" applyFont="1"/>
    <xf numFmtId="0" fontId="9" fillId="0" borderId="0" xfId="0" applyFont="1" applyAlignment="1">
      <alignment horizontal="center"/>
    </xf>
    <xf numFmtId="43" fontId="9" fillId="3" borderId="0" xfId="1" applyFont="1" applyFill="1"/>
    <xf numFmtId="0" fontId="71" fillId="0" borderId="0" xfId="0" applyFont="1"/>
    <xf numFmtId="0" fontId="69" fillId="0" borderId="28" xfId="0" applyFont="1" applyBorder="1" applyAlignment="1">
      <alignment horizontal="center" textRotation="180"/>
    </xf>
    <xf numFmtId="0" fontId="69" fillId="0" borderId="28" xfId="0" applyFont="1" applyBorder="1" applyAlignment="1">
      <alignment horizontal="center"/>
    </xf>
    <xf numFmtId="0" fontId="67" fillId="0" borderId="27" xfId="0" applyFont="1" applyBorder="1"/>
    <xf numFmtId="0" fontId="69" fillId="0" borderId="29" xfId="0" applyFont="1" applyBorder="1"/>
    <xf numFmtId="0" fontId="69" fillId="0" borderId="0" xfId="0" applyFont="1" applyAlignment="1">
      <alignment horizontal="center" textRotation="180"/>
    </xf>
    <xf numFmtId="169" fontId="69" fillId="0" borderId="0" xfId="0" applyNumberFormat="1" applyFont="1" applyAlignment="1">
      <alignment horizontal="left"/>
    </xf>
    <xf numFmtId="0" fontId="67" fillId="0" borderId="30" xfId="0" applyFont="1" applyBorder="1"/>
    <xf numFmtId="0" fontId="69" fillId="0" borderId="0" xfId="0" applyFont="1" applyAlignment="1">
      <alignment horizontal="center"/>
    </xf>
    <xf numFmtId="14" fontId="69" fillId="0" borderId="32" xfId="0" applyNumberFormat="1" applyFont="1" applyBorder="1"/>
    <xf numFmtId="0" fontId="69" fillId="0" borderId="33" xfId="0" applyFont="1" applyBorder="1" applyAlignment="1">
      <alignment horizontal="center" textRotation="180"/>
    </xf>
    <xf numFmtId="17" fontId="69" fillId="0" borderId="0" xfId="0" applyNumberFormat="1" applyFont="1" applyAlignment="1">
      <alignment horizontal="center"/>
    </xf>
    <xf numFmtId="0" fontId="69" fillId="0" borderId="16" xfId="0" applyFont="1" applyBorder="1" applyAlignment="1">
      <alignment horizontal="center"/>
    </xf>
    <xf numFmtId="0" fontId="69" fillId="0" borderId="14" xfId="0" applyFont="1" applyBorder="1" applyAlignment="1">
      <alignment horizontal="center"/>
    </xf>
    <xf numFmtId="49" fontId="69" fillId="0" borderId="34" xfId="0" applyNumberFormat="1" applyFont="1" applyBorder="1" applyAlignment="1">
      <alignment horizontal="center"/>
    </xf>
    <xf numFmtId="49" fontId="69" fillId="0" borderId="17" xfId="0" applyNumberFormat="1" applyFont="1" applyBorder="1" applyAlignment="1">
      <alignment horizontal="center"/>
    </xf>
    <xf numFmtId="49" fontId="69" fillId="0" borderId="0" xfId="0" applyNumberFormat="1" applyFont="1" applyAlignment="1">
      <alignment horizontal="center"/>
    </xf>
    <xf numFmtId="49" fontId="69" fillId="0" borderId="15" xfId="0" applyNumberFormat="1" applyFont="1" applyBorder="1" applyAlignment="1">
      <alignment horizontal="center"/>
    </xf>
    <xf numFmtId="0" fontId="69" fillId="0" borderId="32" xfId="0" applyFont="1" applyBorder="1" applyAlignment="1" applyProtection="1">
      <alignment horizontal="center"/>
      <protection locked="0"/>
    </xf>
    <xf numFmtId="49" fontId="67" fillId="0" borderId="15" xfId="5" applyNumberFormat="1" applyFont="1" applyBorder="1" applyAlignment="1">
      <alignment horizontal="center"/>
    </xf>
    <xf numFmtId="43" fontId="67" fillId="0" borderId="15" xfId="1" applyFont="1" applyFill="1" applyBorder="1" applyProtection="1">
      <protection locked="0"/>
    </xf>
    <xf numFmtId="4" fontId="39" fillId="2" borderId="15" xfId="0" applyNumberFormat="1" applyFont="1" applyFill="1" applyBorder="1" applyAlignment="1">
      <alignment horizontal="center"/>
    </xf>
    <xf numFmtId="43" fontId="71" fillId="0" borderId="17" xfId="1" applyFont="1" applyFill="1" applyBorder="1" applyProtection="1">
      <protection locked="0"/>
    </xf>
    <xf numFmtId="167" fontId="71" fillId="0" borderId="10" xfId="1" applyNumberFormat="1" applyFont="1" applyFill="1" applyBorder="1" applyProtection="1">
      <protection locked="0"/>
    </xf>
    <xf numFmtId="43" fontId="67" fillId="0" borderId="20" xfId="1" applyFont="1" applyFill="1" applyBorder="1" applyProtection="1">
      <protection locked="0"/>
    </xf>
    <xf numFmtId="43" fontId="67" fillId="0" borderId="17" xfId="1" applyFont="1" applyFill="1" applyBorder="1" applyProtection="1">
      <protection locked="0"/>
    </xf>
    <xf numFmtId="43" fontId="69" fillId="0" borderId="10" xfId="1" applyFont="1" applyFill="1" applyBorder="1" applyProtection="1">
      <protection locked="0"/>
    </xf>
    <xf numFmtId="43" fontId="69" fillId="0" borderId="20" xfId="1" applyFont="1" applyFill="1" applyBorder="1" applyProtection="1">
      <protection locked="0"/>
    </xf>
    <xf numFmtId="43" fontId="67" fillId="2" borderId="15" xfId="1" applyFont="1" applyFill="1" applyBorder="1" applyProtection="1">
      <protection locked="0"/>
    </xf>
    <xf numFmtId="43" fontId="67" fillId="0" borderId="10" xfId="1" applyFont="1" applyFill="1" applyBorder="1" applyProtection="1">
      <protection locked="0"/>
    </xf>
    <xf numFmtId="167" fontId="71" fillId="0" borderId="15" xfId="1" applyNumberFormat="1" applyFont="1" applyFill="1" applyBorder="1" applyProtection="1">
      <protection locked="0"/>
    </xf>
    <xf numFmtId="43" fontId="67" fillId="2" borderId="20" xfId="1" applyFont="1" applyFill="1" applyBorder="1" applyProtection="1">
      <protection locked="0"/>
    </xf>
    <xf numFmtId="43" fontId="67" fillId="0" borderId="19" xfId="1" applyFont="1" applyFill="1" applyBorder="1" applyProtection="1">
      <protection locked="0"/>
    </xf>
    <xf numFmtId="43" fontId="73" fillId="0" borderId="10" xfId="1" applyFont="1" applyFill="1" applyBorder="1" applyProtection="1">
      <protection locked="0"/>
    </xf>
    <xf numFmtId="2" fontId="69" fillId="0" borderId="15" xfId="1" applyNumberFormat="1" applyFont="1" applyFill="1" applyBorder="1" applyProtection="1">
      <protection locked="0"/>
    </xf>
    <xf numFmtId="43" fontId="69" fillId="0" borderId="15" xfId="1" applyFont="1" applyFill="1" applyBorder="1" applyProtection="1">
      <protection locked="0"/>
    </xf>
    <xf numFmtId="43" fontId="69" fillId="0" borderId="17" xfId="1" applyFont="1" applyFill="1" applyBorder="1" applyProtection="1">
      <protection locked="0"/>
    </xf>
    <xf numFmtId="167" fontId="71" fillId="0" borderId="17" xfId="1" applyNumberFormat="1" applyFont="1" applyFill="1" applyBorder="1" applyProtection="1">
      <protection locked="0"/>
    </xf>
    <xf numFmtId="43" fontId="74" fillId="0" borderId="20" xfId="1" applyFont="1" applyFill="1" applyBorder="1" applyProtection="1">
      <protection locked="0"/>
    </xf>
    <xf numFmtId="43" fontId="69" fillId="0" borderId="20" xfId="1" applyFont="1" applyFill="1" applyBorder="1"/>
    <xf numFmtId="43" fontId="59" fillId="0" borderId="20" xfId="1" applyFont="1" applyFill="1" applyBorder="1" applyProtection="1">
      <protection locked="0"/>
    </xf>
    <xf numFmtId="43" fontId="75" fillId="0" borderId="15" xfId="1" applyFont="1" applyFill="1" applyBorder="1" applyProtection="1">
      <protection locked="0"/>
    </xf>
    <xf numFmtId="43" fontId="76" fillId="0" borderId="20" xfId="1" applyFont="1" applyFill="1" applyBorder="1" applyProtection="1">
      <protection locked="0"/>
    </xf>
    <xf numFmtId="43" fontId="69" fillId="0" borderId="19" xfId="1" applyFont="1" applyFill="1" applyBorder="1" applyProtection="1">
      <protection locked="0"/>
    </xf>
    <xf numFmtId="43" fontId="73" fillId="0" borderId="20" xfId="1" applyFont="1" applyFill="1" applyBorder="1" applyProtection="1">
      <protection locked="0"/>
    </xf>
    <xf numFmtId="171" fontId="67" fillId="0" borderId="20" xfId="1" applyNumberFormat="1" applyFont="1" applyFill="1" applyBorder="1" applyProtection="1">
      <protection locked="0"/>
    </xf>
    <xf numFmtId="43" fontId="69" fillId="0" borderId="36" xfId="1" applyFont="1" applyFill="1" applyBorder="1" applyProtection="1">
      <protection locked="0"/>
    </xf>
    <xf numFmtId="43" fontId="74" fillId="0" borderId="15" xfId="1" applyFont="1" applyFill="1" applyBorder="1" applyProtection="1">
      <protection locked="0"/>
    </xf>
    <xf numFmtId="43" fontId="71" fillId="0" borderId="15" xfId="1" applyFont="1" applyFill="1" applyBorder="1" applyProtection="1">
      <protection locked="0"/>
    </xf>
    <xf numFmtId="4" fontId="69" fillId="0" borderId="37" xfId="0" applyNumberFormat="1" applyFont="1" applyBorder="1" applyAlignment="1" applyProtection="1">
      <alignment horizontal="center"/>
      <protection locked="0"/>
    </xf>
    <xf numFmtId="4" fontId="69" fillId="2" borderId="32" xfId="0" applyNumberFormat="1" applyFont="1" applyFill="1" applyBorder="1" applyAlignment="1" applyProtection="1">
      <alignment horizontal="center"/>
      <protection locked="0"/>
    </xf>
    <xf numFmtId="4" fontId="69" fillId="0" borderId="32" xfId="1" applyNumberFormat="1" applyFont="1" applyFill="1" applyBorder="1" applyProtection="1">
      <protection locked="0"/>
    </xf>
    <xf numFmtId="4" fontId="67" fillId="0" borderId="37" xfId="1" applyNumberFormat="1" applyFont="1" applyFill="1" applyBorder="1" applyProtection="1">
      <protection locked="0"/>
    </xf>
    <xf numFmtId="43" fontId="71" fillId="0" borderId="38" xfId="1" applyFont="1" applyFill="1" applyBorder="1" applyAlignment="1" applyProtection="1">
      <protection locked="0"/>
    </xf>
    <xf numFmtId="167" fontId="71" fillId="0" borderId="38" xfId="1" applyNumberFormat="1" applyFont="1" applyFill="1" applyBorder="1" applyAlignment="1" applyProtection="1">
      <protection locked="0"/>
    </xf>
    <xf numFmtId="0" fontId="69" fillId="0" borderId="37" xfId="0" applyFont="1" applyBorder="1" applyAlignment="1" applyProtection="1">
      <alignment horizontal="center"/>
      <protection locked="0"/>
    </xf>
    <xf numFmtId="0" fontId="69" fillId="2" borderId="37" xfId="0" applyFont="1" applyFill="1" applyBorder="1" applyAlignment="1" applyProtection="1">
      <alignment horizontal="center"/>
      <protection locked="0"/>
    </xf>
    <xf numFmtId="43" fontId="69" fillId="0" borderId="39" xfId="1" applyFont="1" applyFill="1" applyBorder="1" applyProtection="1">
      <protection locked="0"/>
    </xf>
    <xf numFmtId="43" fontId="67" fillId="0" borderId="39" xfId="1" applyFont="1" applyFill="1" applyBorder="1" applyProtection="1">
      <protection locked="0"/>
    </xf>
    <xf numFmtId="43" fontId="71" fillId="0" borderId="40" xfId="1" applyFont="1" applyFill="1" applyBorder="1" applyAlignment="1" applyProtection="1">
      <protection locked="0"/>
    </xf>
    <xf numFmtId="43" fontId="67" fillId="0" borderId="37" xfId="1" applyFont="1" applyFill="1" applyBorder="1" applyProtection="1">
      <protection locked="0"/>
    </xf>
    <xf numFmtId="167" fontId="67" fillId="0" borderId="37" xfId="1" applyNumberFormat="1" applyFont="1" applyFill="1" applyBorder="1" applyProtection="1">
      <protection locked="0"/>
    </xf>
    <xf numFmtId="49" fontId="1" fillId="0" borderId="0" xfId="0" applyNumberFormat="1" applyFont="1"/>
    <xf numFmtId="0" fontId="69" fillId="0" borderId="6" xfId="0" applyFont="1" applyBorder="1"/>
    <xf numFmtId="49" fontId="67" fillId="0" borderId="0" xfId="0" applyNumberFormat="1" applyFont="1"/>
    <xf numFmtId="49" fontId="69" fillId="0" borderId="41" xfId="0" applyNumberFormat="1" applyFont="1" applyBorder="1"/>
    <xf numFmtId="49" fontId="71" fillId="0" borderId="41" xfId="0" applyNumberFormat="1" applyFont="1" applyBorder="1"/>
    <xf numFmtId="49" fontId="9" fillId="0" borderId="0" xfId="0" applyNumberFormat="1" applyFont="1"/>
    <xf numFmtId="49" fontId="71" fillId="0" borderId="0" xfId="0" applyNumberFormat="1" applyFont="1"/>
    <xf numFmtId="49" fontId="80" fillId="0" borderId="1" xfId="0" applyNumberFormat="1" applyFont="1" applyBorder="1" applyAlignment="1">
      <alignment vertical="top"/>
    </xf>
    <xf numFmtId="49" fontId="80" fillId="0" borderId="2" xfId="0" applyNumberFormat="1" applyFont="1" applyBorder="1" applyAlignment="1">
      <alignment vertical="top"/>
    </xf>
    <xf numFmtId="49" fontId="69" fillId="0" borderId="2" xfId="0" applyNumberFormat="1" applyFont="1" applyBorder="1"/>
    <xf numFmtId="49" fontId="69" fillId="0" borderId="2" xfId="0" applyNumberFormat="1" applyFont="1" applyBorder="1" applyAlignment="1">
      <alignment vertical="top" wrapText="1"/>
    </xf>
    <xf numFmtId="49" fontId="69" fillId="0" borderId="6" xfId="0" applyNumberFormat="1" applyFont="1" applyBorder="1" applyAlignment="1">
      <alignment horizontal="center"/>
    </xf>
    <xf numFmtId="49" fontId="69" fillId="0" borderId="6" xfId="0" applyNumberFormat="1" applyFont="1" applyBorder="1"/>
    <xf numFmtId="49" fontId="72" fillId="0" borderId="0" xfId="0" applyNumberFormat="1" applyFont="1"/>
    <xf numFmtId="49" fontId="69" fillId="0" borderId="9" xfId="0" applyNumberFormat="1" applyFont="1" applyBorder="1"/>
    <xf numFmtId="49" fontId="69" fillId="0" borderId="10" xfId="0" applyNumberFormat="1" applyFont="1" applyBorder="1"/>
    <xf numFmtId="0" fontId="69" fillId="0" borderId="16" xfId="0" applyFont="1" applyBorder="1" applyAlignment="1">
      <alignment horizontal="left"/>
    </xf>
    <xf numFmtId="49" fontId="69" fillId="0" borderId="14" xfId="0" applyNumberFormat="1" applyFont="1" applyBorder="1" applyAlignment="1">
      <alignment horizontal="center"/>
    </xf>
    <xf numFmtId="43" fontId="71" fillId="0" borderId="11" xfId="1" applyFont="1" applyFill="1" applyBorder="1" applyProtection="1">
      <protection locked="0"/>
    </xf>
    <xf numFmtId="43" fontId="71" fillId="0" borderId="18" xfId="1" applyFont="1" applyFill="1" applyBorder="1" applyProtection="1">
      <protection locked="0"/>
    </xf>
    <xf numFmtId="43" fontId="71" fillId="0" borderId="15" xfId="4" applyFont="1" applyFill="1" applyBorder="1"/>
    <xf numFmtId="43" fontId="71" fillId="0" borderId="18" xfId="4" applyFont="1" applyFill="1" applyBorder="1"/>
    <xf numFmtId="43" fontId="71" fillId="0" borderId="14" xfId="1" applyFont="1" applyFill="1" applyBorder="1" applyProtection="1">
      <protection locked="0"/>
    </xf>
    <xf numFmtId="43" fontId="71" fillId="0" borderId="7" xfId="1" applyFont="1" applyFill="1" applyBorder="1" applyProtection="1">
      <protection locked="0"/>
    </xf>
    <xf numFmtId="4" fontId="71" fillId="0" borderId="15" xfId="0" applyNumberFormat="1" applyFont="1" applyBorder="1"/>
    <xf numFmtId="4" fontId="67" fillId="0" borderId="15" xfId="0" applyNumberFormat="1" applyFont="1" applyBorder="1"/>
    <xf numFmtId="4" fontId="67" fillId="0" borderId="18" xfId="0" applyNumberFormat="1" applyFont="1" applyBorder="1"/>
    <xf numFmtId="4" fontId="9" fillId="0" borderId="18" xfId="0" applyNumberFormat="1" applyFont="1" applyBorder="1"/>
    <xf numFmtId="0" fontId="59" fillId="0" borderId="15" xfId="0" applyFont="1" applyBorder="1"/>
    <xf numFmtId="4" fontId="71" fillId="0" borderId="18" xfId="0" applyNumberFormat="1" applyFont="1" applyBorder="1"/>
    <xf numFmtId="43" fontId="69" fillId="0" borderId="11" xfId="1" applyFont="1" applyFill="1" applyBorder="1" applyProtection="1">
      <protection locked="0"/>
    </xf>
    <xf numFmtId="43" fontId="71" fillId="0" borderId="20" xfId="4" applyFont="1" applyFill="1" applyBorder="1"/>
    <xf numFmtId="49" fontId="82" fillId="0" borderId="0" xfId="0" applyNumberFormat="1" applyFont="1"/>
    <xf numFmtId="49" fontId="83" fillId="0" borderId="1" xfId="0" applyNumberFormat="1" applyFont="1" applyBorder="1" applyAlignment="1">
      <alignment vertical="top"/>
    </xf>
    <xf numFmtId="49" fontId="83" fillId="0" borderId="2" xfId="0" applyNumberFormat="1" applyFont="1" applyBorder="1" applyAlignment="1">
      <alignment vertical="top"/>
    </xf>
    <xf numFmtId="49" fontId="83" fillId="0" borderId="6" xfId="0" applyNumberFormat="1" applyFont="1" applyBorder="1" applyAlignment="1">
      <alignment vertical="top"/>
    </xf>
    <xf numFmtId="49" fontId="83" fillId="0" borderId="0" xfId="0" applyNumberFormat="1" applyFont="1" applyAlignment="1">
      <alignment vertical="top"/>
    </xf>
    <xf numFmtId="49" fontId="83" fillId="0" borderId="0" xfId="0" applyNumberFormat="1" applyFont="1"/>
    <xf numFmtId="0" fontId="72" fillId="5" borderId="0" xfId="0" applyFont="1" applyFill="1" applyAlignment="1">
      <alignment horizontal="center"/>
    </xf>
    <xf numFmtId="4" fontId="69" fillId="0" borderId="16" xfId="0" applyNumberFormat="1" applyFont="1" applyBorder="1" applyAlignment="1">
      <alignment horizontal="center"/>
    </xf>
    <xf numFmtId="4" fontId="69" fillId="0" borderId="14" xfId="0" applyNumberFormat="1" applyFont="1" applyBorder="1" applyAlignment="1">
      <alignment horizontal="center"/>
    </xf>
    <xf numFmtId="0" fontId="67" fillId="0" borderId="14" xfId="0" applyFont="1" applyBorder="1" applyAlignment="1">
      <alignment horizontal="center"/>
    </xf>
    <xf numFmtId="3" fontId="69" fillId="0" borderId="15" xfId="0" applyNumberFormat="1" applyFont="1" applyBorder="1" applyAlignment="1">
      <alignment horizontal="center"/>
    </xf>
    <xf numFmtId="0" fontId="69" fillId="0" borderId="15" xfId="0" applyFont="1" applyBorder="1" applyAlignment="1">
      <alignment horizontal="center"/>
    </xf>
    <xf numFmtId="43" fontId="71" fillId="0" borderId="15" xfId="1" applyFont="1" applyFill="1" applyBorder="1" applyAlignment="1" applyProtection="1">
      <alignment horizontal="left"/>
      <protection locked="0"/>
    </xf>
    <xf numFmtId="43" fontId="71" fillId="0" borderId="43" xfId="1" applyFont="1" applyFill="1" applyBorder="1" applyAlignment="1" applyProtection="1">
      <protection locked="0"/>
    </xf>
    <xf numFmtId="43" fontId="71" fillId="0" borderId="44" xfId="1" applyFont="1" applyFill="1" applyBorder="1" applyProtection="1">
      <protection locked="0"/>
    </xf>
    <xf numFmtId="43" fontId="71" fillId="0" borderId="10" xfId="1" applyFont="1" applyFill="1" applyBorder="1" applyProtection="1">
      <protection locked="0"/>
    </xf>
    <xf numFmtId="43" fontId="71" fillId="0" borderId="32" xfId="1" applyFont="1" applyFill="1" applyBorder="1" applyProtection="1">
      <protection locked="0"/>
    </xf>
    <xf numFmtId="43" fontId="71" fillId="0" borderId="17" xfId="1" applyFont="1" applyFill="1" applyBorder="1" applyAlignment="1" applyProtection="1">
      <alignment horizontal="left"/>
      <protection locked="0"/>
    </xf>
    <xf numFmtId="43" fontId="71" fillId="0" borderId="10" xfId="1" applyFont="1" applyFill="1" applyBorder="1" applyAlignment="1" applyProtection="1">
      <protection locked="0"/>
    </xf>
    <xf numFmtId="43" fontId="71" fillId="0" borderId="45" xfId="1" applyFont="1" applyFill="1" applyBorder="1" applyProtection="1">
      <protection locked="0"/>
    </xf>
    <xf numFmtId="43" fontId="71" fillId="0" borderId="46" xfId="1" applyFont="1" applyFill="1" applyBorder="1" applyProtection="1">
      <protection locked="0"/>
    </xf>
    <xf numFmtId="43" fontId="71" fillId="0" borderId="47" xfId="1" applyFont="1" applyFill="1" applyBorder="1" applyProtection="1">
      <protection locked="0"/>
    </xf>
    <xf numFmtId="43" fontId="71" fillId="0" borderId="0" xfId="1" applyFont="1" applyFill="1" applyBorder="1" applyProtection="1">
      <protection locked="0"/>
    </xf>
    <xf numFmtId="43" fontId="71" fillId="0" borderId="16" xfId="1" applyFont="1" applyFill="1" applyBorder="1" applyProtection="1">
      <protection locked="0"/>
    </xf>
    <xf numFmtId="43" fontId="67" fillId="0" borderId="16" xfId="1" applyFont="1" applyFill="1" applyBorder="1" applyAlignment="1" applyProtection="1">
      <alignment horizontal="left"/>
      <protection locked="0"/>
    </xf>
    <xf numFmtId="43" fontId="71" fillId="0" borderId="20" xfId="1" applyFont="1" applyFill="1" applyBorder="1" applyProtection="1">
      <protection locked="0"/>
    </xf>
    <xf numFmtId="43" fontId="71" fillId="0" borderId="15" xfId="4" applyFont="1" applyBorder="1"/>
    <xf numFmtId="43" fontId="71" fillId="0" borderId="14" xfId="1" applyFont="1" applyFill="1" applyBorder="1" applyAlignment="1" applyProtection="1">
      <alignment horizontal="left"/>
      <protection locked="0"/>
    </xf>
    <xf numFmtId="0" fontId="9" fillId="0" borderId="18" xfId="0" applyFont="1" applyBorder="1"/>
    <xf numFmtId="4" fontId="9" fillId="0" borderId="15" xfId="0" applyNumberFormat="1" applyFont="1" applyBorder="1"/>
    <xf numFmtId="2" fontId="71" fillId="0" borderId="18" xfId="0" applyNumberFormat="1" applyFont="1" applyBorder="1"/>
    <xf numFmtId="4" fontId="59" fillId="0" borderId="15" xfId="0" applyNumberFormat="1" applyFont="1" applyBorder="1"/>
    <xf numFmtId="43" fontId="71" fillId="0" borderId="15" xfId="1" applyFont="1" applyFill="1" applyBorder="1" applyAlignment="1" applyProtection="1">
      <protection locked="0"/>
    </xf>
    <xf numFmtId="43" fontId="71" fillId="0" borderId="17" xfId="1" applyFont="1" applyFill="1" applyBorder="1" applyAlignment="1" applyProtection="1">
      <protection locked="0"/>
    </xf>
    <xf numFmtId="0" fontId="59" fillId="0" borderId="48" xfId="0" applyFont="1" applyBorder="1"/>
    <xf numFmtId="0" fontId="59" fillId="0" borderId="37" xfId="0" applyFont="1" applyBorder="1"/>
    <xf numFmtId="4" fontId="1" fillId="0" borderId="0" xfId="0" applyNumberFormat="1" applyFont="1"/>
    <xf numFmtId="49" fontId="72" fillId="0" borderId="0" xfId="0" applyNumberFormat="1" applyFont="1" applyAlignment="1">
      <alignment horizontal="center"/>
    </xf>
    <xf numFmtId="49" fontId="69" fillId="0" borderId="1" xfId="0" applyNumberFormat="1" applyFont="1" applyBorder="1"/>
    <xf numFmtId="4" fontId="69" fillId="0" borderId="2" xfId="0" applyNumberFormat="1" applyFont="1" applyBorder="1" applyAlignment="1">
      <alignment horizontal="center"/>
    </xf>
    <xf numFmtId="0" fontId="69" fillId="0" borderId="2" xfId="0" applyFont="1" applyBorder="1" applyAlignment="1">
      <alignment horizontal="center"/>
    </xf>
    <xf numFmtId="4" fontId="69" fillId="0" borderId="49" xfId="0" applyNumberFormat="1" applyFont="1" applyBorder="1" applyAlignment="1">
      <alignment horizontal="center"/>
    </xf>
    <xf numFmtId="4" fontId="69" fillId="0" borderId="3" xfId="0" applyNumberFormat="1" applyFont="1" applyBorder="1" applyAlignment="1">
      <alignment horizontal="center"/>
    </xf>
    <xf numFmtId="4" fontId="69" fillId="0" borderId="0" xfId="0" applyNumberFormat="1" applyFont="1" applyAlignment="1">
      <alignment horizontal="center"/>
    </xf>
    <xf numFmtId="4" fontId="69" fillId="0" borderId="7" xfId="0" applyNumberFormat="1" applyFont="1" applyBorder="1" applyAlignment="1">
      <alignment horizontal="center"/>
    </xf>
    <xf numFmtId="43" fontId="71" fillId="0" borderId="15" xfId="1" applyFont="1" applyFill="1" applyBorder="1" applyAlignment="1" applyProtection="1">
      <alignment horizontal="right"/>
      <protection locked="0"/>
    </xf>
    <xf numFmtId="43" fontId="71" fillId="0" borderId="35" xfId="1" applyFont="1" applyFill="1" applyBorder="1" applyProtection="1">
      <protection locked="0"/>
    </xf>
    <xf numFmtId="43" fontId="71" fillId="0" borderId="17" xfId="1" applyFont="1" applyFill="1" applyBorder="1" applyAlignment="1" applyProtection="1">
      <alignment horizontal="center"/>
      <protection locked="0"/>
    </xf>
    <xf numFmtId="43" fontId="71" fillId="0" borderId="17" xfId="1" applyFont="1" applyFill="1" applyBorder="1" applyAlignment="1" applyProtection="1">
      <alignment horizontal="right"/>
      <protection locked="0"/>
    </xf>
    <xf numFmtId="43" fontId="71" fillId="0" borderId="15" xfId="1" applyFont="1" applyFill="1" applyBorder="1" applyAlignment="1" applyProtection="1">
      <alignment horizontal="center"/>
      <protection locked="0"/>
    </xf>
    <xf numFmtId="43" fontId="71" fillId="0" borderId="50" xfId="1" applyFont="1" applyFill="1" applyBorder="1" applyProtection="1">
      <protection locked="0"/>
    </xf>
    <xf numFmtId="43" fontId="74" fillId="0" borderId="17" xfId="1" applyFont="1" applyFill="1" applyBorder="1" applyProtection="1">
      <protection locked="0"/>
    </xf>
    <xf numFmtId="43" fontId="71" fillId="0" borderId="51" xfId="1" applyFont="1" applyFill="1" applyBorder="1" applyProtection="1">
      <protection locked="0"/>
    </xf>
    <xf numFmtId="43" fontId="71" fillId="0" borderId="15" xfId="1" applyFont="1" applyFill="1" applyBorder="1"/>
    <xf numFmtId="43" fontId="71" fillId="0" borderId="14" xfId="1" applyFont="1" applyFill="1" applyBorder="1"/>
    <xf numFmtId="43" fontId="71" fillId="0" borderId="18" xfId="1" applyFont="1" applyFill="1" applyBorder="1"/>
    <xf numFmtId="43" fontId="71" fillId="0" borderId="17" xfId="1" applyFont="1" applyFill="1" applyBorder="1"/>
    <xf numFmtId="43" fontId="71" fillId="0" borderId="52" xfId="1" applyFont="1" applyFill="1" applyBorder="1" applyProtection="1">
      <protection locked="0"/>
    </xf>
    <xf numFmtId="43" fontId="71" fillId="0" borderId="30" xfId="1" applyFont="1" applyFill="1" applyBorder="1" applyProtection="1">
      <protection locked="0"/>
    </xf>
    <xf numFmtId="4" fontId="69" fillId="0" borderId="18" xfId="0" applyNumberFormat="1" applyFont="1" applyBorder="1"/>
    <xf numFmtId="0" fontId="9" fillId="0" borderId="15" xfId="0" applyFont="1" applyBorder="1" applyAlignment="1">
      <alignment horizontal="center"/>
    </xf>
    <xf numFmtId="0" fontId="59" fillId="0" borderId="15" xfId="0" applyFont="1" applyBorder="1" applyAlignment="1">
      <alignment horizontal="center"/>
    </xf>
    <xf numFmtId="43" fontId="67" fillId="0" borderId="15" xfId="1" applyFont="1" applyFill="1" applyBorder="1" applyAlignment="1" applyProtection="1">
      <alignment horizontal="right"/>
      <protection locked="0"/>
    </xf>
    <xf numFmtId="44" fontId="71" fillId="0" borderId="15" xfId="1" applyNumberFormat="1" applyFont="1" applyFill="1" applyBorder="1" applyProtection="1">
      <protection locked="0"/>
    </xf>
    <xf numFmtId="43" fontId="71" fillId="0" borderId="20" xfId="1" applyFont="1" applyFill="1" applyBorder="1" applyAlignment="1" applyProtection="1">
      <alignment horizontal="center"/>
      <protection locked="0"/>
    </xf>
    <xf numFmtId="4" fontId="71" fillId="0" borderId="38" xfId="1" applyNumberFormat="1" applyFont="1" applyFill="1" applyBorder="1" applyAlignment="1" applyProtection="1">
      <protection locked="0"/>
    </xf>
    <xf numFmtId="43" fontId="67" fillId="0" borderId="37" xfId="1" applyFont="1" applyFill="1" applyBorder="1" applyAlignment="1" applyProtection="1">
      <alignment horizontal="center"/>
      <protection locked="0"/>
    </xf>
    <xf numFmtId="2" fontId="9" fillId="0" borderId="0" xfId="0" applyNumberFormat="1" applyFont="1"/>
    <xf numFmtId="49" fontId="9" fillId="0" borderId="0" xfId="0" applyNumberFormat="1" applyFont="1" applyAlignment="1">
      <alignment horizontal="center"/>
    </xf>
    <xf numFmtId="49" fontId="3" fillId="0" borderId="0" xfId="0" applyNumberFormat="1" applyFont="1"/>
    <xf numFmtId="49" fontId="69" fillId="0" borderId="3" xfId="0" applyNumberFormat="1" applyFont="1" applyBorder="1"/>
    <xf numFmtId="49" fontId="69" fillId="0" borderId="7" xfId="0" applyNumberFormat="1" applyFont="1" applyBorder="1"/>
    <xf numFmtId="49" fontId="69" fillId="0" borderId="11" xfId="0" applyNumberFormat="1" applyFont="1" applyBorder="1"/>
    <xf numFmtId="0" fontId="86" fillId="6" borderId="0" xfId="0" applyFont="1" applyFill="1"/>
    <xf numFmtId="43" fontId="69" fillId="0" borderId="16" xfId="1" applyFont="1" applyFill="1" applyBorder="1" applyAlignment="1">
      <alignment horizontal="center"/>
    </xf>
    <xf numFmtId="0" fontId="59" fillId="0" borderId="16" xfId="0" applyFont="1" applyBorder="1" applyAlignment="1">
      <alignment horizontal="center"/>
    </xf>
    <xf numFmtId="43" fontId="69" fillId="0" borderId="14" xfId="1" applyFont="1" applyFill="1" applyBorder="1" applyAlignment="1">
      <alignment horizontal="center"/>
    </xf>
    <xf numFmtId="43" fontId="71" fillId="0" borderId="32" xfId="1" applyFont="1" applyFill="1" applyBorder="1" applyAlignment="1" applyProtection="1">
      <alignment horizontal="center"/>
      <protection locked="0"/>
    </xf>
    <xf numFmtId="43" fontId="71" fillId="0" borderId="10" xfId="1" applyFont="1" applyFill="1" applyBorder="1" applyAlignment="1" applyProtection="1">
      <alignment horizontal="center"/>
      <protection locked="0"/>
    </xf>
    <xf numFmtId="43" fontId="71" fillId="0" borderId="31" xfId="1" applyFont="1" applyFill="1" applyBorder="1" applyAlignment="1" applyProtection="1">
      <alignment horizontal="center"/>
      <protection locked="0"/>
    </xf>
    <xf numFmtId="43" fontId="9" fillId="2" borderId="0" xfId="1" applyFont="1" applyFill="1"/>
    <xf numFmtId="43" fontId="69" fillId="0" borderId="0" xfId="1" applyFont="1" applyFill="1"/>
    <xf numFmtId="0" fontId="69" fillId="0" borderId="2" xfId="0" applyFont="1" applyBorder="1" applyAlignment="1">
      <alignment vertical="center"/>
    </xf>
    <xf numFmtId="43" fontId="69" fillId="0" borderId="28" xfId="1" applyFont="1" applyFill="1" applyBorder="1"/>
    <xf numFmtId="43" fontId="69" fillId="0" borderId="0" xfId="1" applyFont="1" applyFill="1" applyBorder="1" applyAlignment="1">
      <alignment horizontal="center"/>
    </xf>
    <xf numFmtId="17" fontId="59" fillId="0" borderId="14" xfId="0" applyNumberFormat="1" applyFont="1" applyBorder="1" applyAlignment="1">
      <alignment horizontal="center"/>
    </xf>
    <xf numFmtId="0" fontId="69" fillId="0" borderId="18" xfId="1" applyNumberFormat="1" applyFont="1" applyFill="1" applyBorder="1" applyAlignment="1">
      <alignment horizontal="center"/>
    </xf>
    <xf numFmtId="43" fontId="78" fillId="0" borderId="10" xfId="1" applyFont="1" applyFill="1" applyBorder="1" applyProtection="1">
      <protection locked="0"/>
    </xf>
    <xf numFmtId="0" fontId="71" fillId="0" borderId="35" xfId="1" applyNumberFormat="1" applyFont="1" applyFill="1" applyBorder="1" applyProtection="1">
      <protection locked="0"/>
    </xf>
    <xf numFmtId="43" fontId="71" fillId="0" borderId="3" xfId="1" applyFont="1" applyFill="1" applyBorder="1" applyProtection="1">
      <protection locked="0"/>
    </xf>
    <xf numFmtId="43" fontId="3" fillId="0" borderId="10" xfId="1" applyFont="1" applyFill="1" applyBorder="1" applyProtection="1">
      <protection locked="0"/>
    </xf>
    <xf numFmtId="49" fontId="59" fillId="0" borderId="0" xfId="0" applyNumberFormat="1" applyFont="1"/>
    <xf numFmtId="49" fontId="59" fillId="0" borderId="0" xfId="0" applyNumberFormat="1" applyFont="1" applyAlignment="1">
      <alignment horizontal="left"/>
    </xf>
    <xf numFmtId="43" fontId="59" fillId="0" borderId="0" xfId="1" applyFont="1" applyFill="1"/>
    <xf numFmtId="49" fontId="59" fillId="0" borderId="0" xfId="0" applyNumberFormat="1" applyFont="1" applyAlignment="1">
      <alignment horizontal="center"/>
    </xf>
    <xf numFmtId="0" fontId="59" fillId="0" borderId="0" xfId="0" applyFont="1" applyAlignment="1">
      <alignment horizontal="center"/>
    </xf>
    <xf numFmtId="49" fontId="69" fillId="0" borderId="0" xfId="0" applyNumberFormat="1" applyFont="1" applyAlignment="1">
      <alignment wrapText="1"/>
    </xf>
    <xf numFmtId="49" fontId="87" fillId="0" borderId="0" xfId="0" applyNumberFormat="1" applyFont="1"/>
    <xf numFmtId="0" fontId="71" fillId="0" borderId="53" xfId="0" applyFont="1" applyBorder="1" applyAlignment="1">
      <alignment horizontal="center"/>
    </xf>
    <xf numFmtId="0" fontId="71" fillId="0" borderId="37" xfId="1" applyNumberFormat="1" applyFont="1" applyFill="1" applyBorder="1" applyAlignment="1" applyProtection="1">
      <alignment horizontal="center"/>
      <protection locked="0"/>
    </xf>
    <xf numFmtId="43" fontId="71" fillId="0" borderId="37" xfId="1" applyFont="1" applyFill="1" applyBorder="1" applyAlignment="1" applyProtection="1">
      <alignment horizontal="center"/>
      <protection locked="0"/>
    </xf>
    <xf numFmtId="49" fontId="59" fillId="0" borderId="7" xfId="0" applyNumberFormat="1" applyFont="1" applyBorder="1"/>
    <xf numFmtId="0" fontId="59" fillId="0" borderId="7" xfId="0" applyFont="1" applyBorder="1"/>
    <xf numFmtId="0" fontId="71" fillId="0" borderId="7" xfId="0" applyFont="1" applyBorder="1"/>
    <xf numFmtId="0" fontId="1" fillId="0" borderId="0" xfId="5" applyFont="1"/>
    <xf numFmtId="0" fontId="1" fillId="0" borderId="6" xfId="5" applyFont="1" applyBorder="1"/>
    <xf numFmtId="43" fontId="1" fillId="0" borderId="0" xfId="4" applyFont="1"/>
    <xf numFmtId="0" fontId="1" fillId="0" borderId="9" xfId="5" applyFont="1" applyBorder="1"/>
    <xf numFmtId="0" fontId="1" fillId="0" borderId="10" xfId="5" applyFont="1" applyBorder="1"/>
    <xf numFmtId="0" fontId="1" fillId="0" borderId="1" xfId="5" applyFont="1" applyBorder="1"/>
    <xf numFmtId="0" fontId="1" fillId="0" borderId="2" xfId="5" applyFont="1" applyBorder="1"/>
    <xf numFmtId="0" fontId="1" fillId="0" borderId="3" xfId="5" applyFont="1" applyBorder="1"/>
    <xf numFmtId="0" fontId="1" fillId="0" borderId="7" xfId="5" applyFont="1" applyBorder="1"/>
    <xf numFmtId="0" fontId="1" fillId="0" borderId="15" xfId="5" applyFont="1" applyBorder="1"/>
    <xf numFmtId="0" fontId="1" fillId="0" borderId="11" xfId="5" applyFont="1" applyBorder="1"/>
    <xf numFmtId="0" fontId="88" fillId="0" borderId="7" xfId="5" applyFont="1" applyBorder="1" applyAlignment="1">
      <alignment horizontal="center"/>
    </xf>
    <xf numFmtId="43" fontId="1" fillId="0" borderId="0" xfId="5" applyNumberFormat="1" applyFont="1"/>
    <xf numFmtId="0" fontId="88" fillId="0" borderId="10" xfId="5" applyFont="1" applyBorder="1"/>
    <xf numFmtId="43" fontId="1" fillId="0" borderId="10" xfId="4" applyFont="1" applyBorder="1" applyAlignment="1"/>
    <xf numFmtId="0" fontId="1" fillId="0" borderId="19" xfId="5" applyFont="1" applyBorder="1"/>
    <xf numFmtId="0" fontId="1" fillId="0" borderId="20" xfId="5" applyFont="1" applyBorder="1"/>
    <xf numFmtId="0" fontId="89" fillId="0" borderId="2" xfId="5" applyFont="1" applyBorder="1"/>
    <xf numFmtId="0" fontId="89" fillId="0" borderId="0" xfId="5" applyFont="1"/>
    <xf numFmtId="0" fontId="4" fillId="0" borderId="0" xfId="5" applyFont="1"/>
    <xf numFmtId="0" fontId="1" fillId="0" borderId="6" xfId="5" applyFont="1" applyBorder="1" applyAlignment="1">
      <alignment horizontal="center"/>
    </xf>
    <xf numFmtId="0" fontId="1" fillId="0" borderId="7" xfId="5" applyFont="1" applyBorder="1" applyAlignment="1">
      <alignment horizontal="center"/>
    </xf>
    <xf numFmtId="0" fontId="1" fillId="0" borderId="18" xfId="5" applyFont="1" applyBorder="1"/>
    <xf numFmtId="0" fontId="4" fillId="0" borderId="2" xfId="5" applyFont="1" applyBorder="1"/>
    <xf numFmtId="0" fontId="4" fillId="0" borderId="6" xfId="5" applyFont="1" applyBorder="1"/>
    <xf numFmtId="0" fontId="1" fillId="0" borderId="54" xfId="5" applyFont="1" applyBorder="1"/>
    <xf numFmtId="0" fontId="1" fillId="0" borderId="55" xfId="5" applyFont="1" applyBorder="1"/>
    <xf numFmtId="43" fontId="88" fillId="0" borderId="7" xfId="4" applyFont="1" applyFill="1" applyBorder="1"/>
    <xf numFmtId="43" fontId="1" fillId="0" borderId="0" xfId="4" applyFont="1" applyBorder="1" applyAlignment="1">
      <alignment horizontal="left"/>
    </xf>
    <xf numFmtId="43" fontId="88" fillId="0" borderId="7" xfId="4" applyFont="1" applyBorder="1"/>
    <xf numFmtId="43" fontId="88" fillId="0" borderId="0" xfId="4" applyFont="1" applyBorder="1" applyAlignment="1">
      <alignment horizontal="left"/>
    </xf>
    <xf numFmtId="43" fontId="88" fillId="0" borderId="10" xfId="4" applyFont="1" applyBorder="1" applyAlignment="1"/>
    <xf numFmtId="43" fontId="1" fillId="0" borderId="11" xfId="5" applyNumberFormat="1" applyFont="1" applyBorder="1"/>
    <xf numFmtId="0" fontId="89" fillId="0" borderId="20" xfId="5" applyFont="1" applyBorder="1" applyAlignment="1">
      <alignment horizontal="center"/>
    </xf>
    <xf numFmtId="0" fontId="4" fillId="0" borderId="9" xfId="5" applyFont="1" applyBorder="1"/>
    <xf numFmtId="0" fontId="1" fillId="0" borderId="59" xfId="5" applyFont="1" applyBorder="1"/>
    <xf numFmtId="0" fontId="4" fillId="0" borderId="55" xfId="5" applyFont="1" applyBorder="1"/>
    <xf numFmtId="43" fontId="1" fillId="0" borderId="0" xfId="1" applyFont="1"/>
    <xf numFmtId="0" fontId="1" fillId="0" borderId="58" xfId="5" applyFont="1" applyBorder="1"/>
    <xf numFmtId="0" fontId="1" fillId="0" borderId="61" xfId="5" applyFont="1" applyBorder="1"/>
    <xf numFmtId="0" fontId="1" fillId="0" borderId="62" xfId="5" applyFont="1" applyBorder="1"/>
    <xf numFmtId="0" fontId="1" fillId="0" borderId="23" xfId="5" applyFont="1" applyBorder="1"/>
    <xf numFmtId="4" fontId="1" fillId="0" borderId="0" xfId="5" applyNumberFormat="1" applyFont="1"/>
    <xf numFmtId="4" fontId="88" fillId="0" borderId="0" xfId="5" applyNumberFormat="1" applyFont="1"/>
    <xf numFmtId="0" fontId="1" fillId="0" borderId="64" xfId="5" applyFont="1" applyBorder="1"/>
    <xf numFmtId="0" fontId="89" fillId="0" borderId="61" xfId="5" applyFont="1" applyBorder="1"/>
    <xf numFmtId="0" fontId="75" fillId="0" borderId="0" xfId="5" applyFont="1" applyAlignment="1">
      <alignment textRotation="90"/>
    </xf>
    <xf numFmtId="0" fontId="1" fillId="0" borderId="65" xfId="5" applyFont="1" applyBorder="1"/>
    <xf numFmtId="0" fontId="4" fillId="0" borderId="63" xfId="5" applyFont="1" applyBorder="1"/>
    <xf numFmtId="0" fontId="4" fillId="0" borderId="10" xfId="5" applyFont="1" applyBorder="1"/>
    <xf numFmtId="0" fontId="1" fillId="0" borderId="63" xfId="5" applyFont="1" applyBorder="1"/>
    <xf numFmtId="0" fontId="70" fillId="0" borderId="0" xfId="5" applyFont="1"/>
    <xf numFmtId="0" fontId="1" fillId="0" borderId="68" xfId="5" applyFont="1" applyBorder="1"/>
    <xf numFmtId="0" fontId="1" fillId="0" borderId="69" xfId="5" applyFont="1" applyBorder="1"/>
    <xf numFmtId="0" fontId="1" fillId="0" borderId="70" xfId="5" applyFont="1" applyBorder="1"/>
    <xf numFmtId="0" fontId="1" fillId="0" borderId="21" xfId="5" applyFont="1" applyBorder="1"/>
    <xf numFmtId="0" fontId="88" fillId="0" borderId="6" xfId="5" applyFont="1" applyBorder="1"/>
    <xf numFmtId="43" fontId="91" fillId="0" borderId="7" xfId="1" applyFont="1" applyFill="1" applyBorder="1"/>
    <xf numFmtId="43" fontId="7" fillId="0" borderId="18" xfId="5" applyNumberFormat="1" applyFont="1" applyBorder="1" applyAlignment="1">
      <alignment horizontal="center"/>
    </xf>
    <xf numFmtId="0" fontId="4" fillId="0" borderId="7" xfId="5" applyFont="1" applyBorder="1"/>
    <xf numFmtId="0" fontId="4" fillId="0" borderId="11" xfId="5" applyFont="1" applyBorder="1"/>
    <xf numFmtId="0" fontId="59" fillId="0" borderId="0" xfId="5" applyFont="1" applyAlignment="1">
      <alignment horizontal="center"/>
    </xf>
    <xf numFmtId="0" fontId="0" fillId="2" borderId="6" xfId="0" applyFill="1" applyBorder="1"/>
    <xf numFmtId="0" fontId="0" fillId="2" borderId="0" xfId="0" applyFill="1" applyAlignment="1">
      <alignment wrapText="1"/>
    </xf>
    <xf numFmtId="15" fontId="1" fillId="0" borderId="14" xfId="5" applyNumberFormat="1" applyFont="1" applyBorder="1" applyAlignment="1">
      <alignment horizontal="center"/>
    </xf>
    <xf numFmtId="15" fontId="1" fillId="0" borderId="0" xfId="5" applyNumberFormat="1" applyFont="1" applyAlignment="1">
      <alignment horizontal="center"/>
    </xf>
    <xf numFmtId="0" fontId="88" fillId="0" borderId="0" xfId="5" applyFont="1" applyAlignment="1">
      <alignment horizontal="center"/>
    </xf>
    <xf numFmtId="49" fontId="1" fillId="0" borderId="6" xfId="5" applyNumberFormat="1" applyFont="1" applyBorder="1" applyAlignment="1">
      <alignment horizontal="center"/>
    </xf>
    <xf numFmtId="49" fontId="1" fillId="0" borderId="0" xfId="5" applyNumberFormat="1" applyFont="1" applyAlignment="1">
      <alignment horizontal="center"/>
    </xf>
    <xf numFmtId="0" fontId="1" fillId="0" borderId="17" xfId="5" applyFont="1" applyBorder="1"/>
    <xf numFmtId="0" fontId="88" fillId="0" borderId="20" xfId="5" applyFont="1" applyBorder="1"/>
    <xf numFmtId="0" fontId="1" fillId="0" borderId="6" xfId="5" applyFont="1" applyBorder="1" applyAlignment="1">
      <alignment horizontal="center" vertical="center" textRotation="90"/>
    </xf>
    <xf numFmtId="0" fontId="15" fillId="0" borderId="6" xfId="5" applyFont="1" applyBorder="1" applyAlignment="1">
      <alignment horizontal="center"/>
    </xf>
    <xf numFmtId="0" fontId="15" fillId="0" borderId="0" xfId="5" applyFont="1" applyAlignment="1">
      <alignment horizontal="center"/>
    </xf>
    <xf numFmtId="0" fontId="15" fillId="0" borderId="7" xfId="5" applyFont="1" applyBorder="1" applyAlignment="1">
      <alignment horizontal="center"/>
    </xf>
    <xf numFmtId="0" fontId="1" fillId="0" borderId="16" xfId="5" applyFont="1" applyBorder="1"/>
    <xf numFmtId="0" fontId="1" fillId="0" borderId="14" xfId="5" applyFont="1" applyBorder="1"/>
    <xf numFmtId="43" fontId="10" fillId="0" borderId="14" xfId="4" applyFont="1" applyBorder="1"/>
    <xf numFmtId="43" fontId="10" fillId="0" borderId="14" xfId="4" applyFont="1" applyBorder="1" applyAlignment="1">
      <alignment horizontal="right"/>
    </xf>
    <xf numFmtId="49" fontId="8" fillId="2" borderId="0" xfId="0" applyNumberFormat="1" applyFont="1" applyFill="1"/>
    <xf numFmtId="0" fontId="10" fillId="0" borderId="14" xfId="5" applyBorder="1"/>
    <xf numFmtId="2" fontId="10" fillId="0" borderId="14" xfId="5" applyNumberFormat="1" applyBorder="1"/>
    <xf numFmtId="43" fontId="10" fillId="0" borderId="17" xfId="5" applyNumberFormat="1" applyBorder="1"/>
    <xf numFmtId="43" fontId="23" fillId="0" borderId="15" xfId="5" applyNumberFormat="1" applyFont="1" applyBorder="1" applyAlignment="1">
      <alignment horizontal="center"/>
    </xf>
    <xf numFmtId="43" fontId="11" fillId="0" borderId="17" xfId="4" applyFont="1" applyFill="1" applyBorder="1"/>
    <xf numFmtId="49" fontId="93" fillId="0" borderId="15" xfId="0" applyNumberFormat="1" applyFont="1" applyBorder="1" applyAlignment="1">
      <alignment horizontal="center"/>
    </xf>
    <xf numFmtId="0" fontId="93" fillId="2" borderId="18" xfId="0" applyFont="1" applyFill="1" applyBorder="1"/>
    <xf numFmtId="14" fontId="93" fillId="0" borderId="15" xfId="0" applyNumberFormat="1" applyFont="1" applyBorder="1" applyAlignment="1">
      <alignment horizontal="center"/>
    </xf>
    <xf numFmtId="0" fontId="96" fillId="0" borderId="0" xfId="0" applyFont="1" applyAlignment="1">
      <alignment horizontal="center"/>
    </xf>
    <xf numFmtId="0" fontId="96" fillId="0" borderId="0" xfId="0" applyFont="1"/>
    <xf numFmtId="0" fontId="99" fillId="0" borderId="3" xfId="0" applyFont="1" applyBorder="1"/>
    <xf numFmtId="0" fontId="99" fillId="0" borderId="16" xfId="0" applyFont="1" applyBorder="1" applyAlignment="1">
      <alignment horizontal="center"/>
    </xf>
    <xf numFmtId="0" fontId="99" fillId="0" borderId="16" xfId="0" applyFont="1" applyBorder="1"/>
    <xf numFmtId="0" fontId="99" fillId="0" borderId="16" xfId="0" applyFont="1" applyBorder="1" applyAlignment="1">
      <alignment wrapText="1"/>
    </xf>
    <xf numFmtId="0" fontId="99" fillId="0" borderId="1" xfId="0" applyFont="1" applyBorder="1" applyAlignment="1">
      <alignment horizontal="center"/>
    </xf>
    <xf numFmtId="0" fontId="99" fillId="0" borderId="11" xfId="0" applyFont="1" applyBorder="1"/>
    <xf numFmtId="0" fontId="99" fillId="0" borderId="17" xfId="0" applyFont="1" applyBorder="1" applyAlignment="1">
      <alignment horizontal="center"/>
    </xf>
    <xf numFmtId="0" fontId="99" fillId="0" borderId="17" xfId="0" applyFont="1" applyBorder="1" applyAlignment="1">
      <alignment horizontal="center" wrapText="1"/>
    </xf>
    <xf numFmtId="0" fontId="99" fillId="0" borderId="9" xfId="0" applyFont="1" applyBorder="1" applyAlignment="1">
      <alignment horizontal="center"/>
    </xf>
    <xf numFmtId="0" fontId="99" fillId="0" borderId="11" xfId="0" applyFont="1" applyBorder="1" applyAlignment="1">
      <alignment horizontal="center"/>
    </xf>
    <xf numFmtId="0" fontId="99" fillId="0" borderId="19" xfId="0" applyFont="1" applyBorder="1"/>
    <xf numFmtId="0" fontId="99" fillId="0" borderId="20" xfId="0" applyFont="1" applyBorder="1"/>
    <xf numFmtId="0" fontId="99" fillId="0" borderId="18" xfId="0" applyFont="1" applyBorder="1"/>
    <xf numFmtId="0" fontId="99" fillId="0" borderId="2" xfId="0" applyFont="1" applyBorder="1"/>
    <xf numFmtId="0" fontId="97" fillId="0" borderId="0" xfId="0" applyFont="1" applyAlignment="1">
      <alignment horizontal="center"/>
    </xf>
    <xf numFmtId="0" fontId="100" fillId="0" borderId="0" xfId="0" applyFont="1" applyAlignment="1">
      <alignment horizontal="center"/>
    </xf>
    <xf numFmtId="0" fontId="96" fillId="0" borderId="0" xfId="0" applyFont="1" applyAlignment="1">
      <alignment horizontal="left"/>
    </xf>
    <xf numFmtId="0" fontId="97" fillId="0" borderId="0" xfId="0" applyFont="1" applyAlignment="1">
      <alignment horizontal="left"/>
    </xf>
    <xf numFmtId="0" fontId="100" fillId="0" borderId="0" xfId="0" applyFont="1" applyAlignment="1">
      <alignment horizontal="left"/>
    </xf>
    <xf numFmtId="43" fontId="101" fillId="0" borderId="0" xfId="0" applyNumberFormat="1" applyFont="1"/>
    <xf numFmtId="43" fontId="102" fillId="0" borderId="0" xfId="0" applyNumberFormat="1" applyFont="1"/>
    <xf numFmtId="0" fontId="95" fillId="0" borderId="0" xfId="0" applyFont="1"/>
    <xf numFmtId="0" fontId="101" fillId="0" borderId="0" xfId="0" applyFont="1"/>
    <xf numFmtId="0" fontId="102" fillId="0" borderId="0" xfId="0" applyFont="1"/>
    <xf numFmtId="43" fontId="95" fillId="0" borderId="0" xfId="0" applyNumberFormat="1" applyFont="1"/>
    <xf numFmtId="0" fontId="98" fillId="0" borderId="18" xfId="0" applyFont="1" applyBorder="1" applyAlignment="1">
      <alignment horizontal="center"/>
    </xf>
    <xf numFmtId="0" fontId="96" fillId="0" borderId="15" xfId="0" applyFont="1" applyBorder="1" applyAlignment="1">
      <alignment horizontal="center"/>
    </xf>
    <xf numFmtId="0" fontId="93" fillId="2" borderId="15" xfId="0" applyFont="1" applyFill="1" applyBorder="1"/>
    <xf numFmtId="0" fontId="1" fillId="0" borderId="0" xfId="0" applyFont="1" applyAlignment="1">
      <alignment vertical="center" wrapText="1"/>
    </xf>
    <xf numFmtId="0" fontId="103" fillId="0" borderId="0" xfId="0" applyFont="1" applyAlignment="1">
      <alignment horizontal="center"/>
    </xf>
    <xf numFmtId="0" fontId="104" fillId="0" borderId="0" xfId="0" applyFont="1"/>
    <xf numFmtId="0" fontId="105" fillId="0" borderId="0" xfId="0" applyFont="1" applyAlignment="1">
      <alignment horizontal="center"/>
    </xf>
    <xf numFmtId="0" fontId="106" fillId="0" borderId="0" xfId="0" applyFont="1"/>
    <xf numFmtId="0" fontId="2" fillId="0" borderId="2" xfId="0" applyFont="1" applyBorder="1"/>
    <xf numFmtId="0" fontId="1" fillId="0" borderId="71" xfId="0" applyFont="1" applyBorder="1" applyAlignment="1">
      <alignment horizontal="center" vertical="center" wrapText="1"/>
    </xf>
    <xf numFmtId="0" fontId="103" fillId="0" borderId="2" xfId="0" applyFont="1" applyBorder="1" applyAlignment="1">
      <alignment horizontal="center"/>
    </xf>
    <xf numFmtId="0" fontId="1" fillId="0" borderId="3" xfId="0" applyFont="1" applyBorder="1" applyAlignment="1">
      <alignment vertical="center" wrapText="1"/>
    </xf>
    <xf numFmtId="0" fontId="104" fillId="0" borderId="11" xfId="0" applyFont="1" applyBorder="1" applyAlignment="1">
      <alignment vertical="center" wrapText="1"/>
    </xf>
    <xf numFmtId="0" fontId="1" fillId="0" borderId="16" xfId="0" applyFont="1" applyBorder="1"/>
    <xf numFmtId="0" fontId="104" fillId="0" borderId="17" xfId="0" applyFont="1" applyBorder="1"/>
    <xf numFmtId="0" fontId="103" fillId="0" borderId="16" xfId="0" applyFont="1" applyBorder="1" applyAlignment="1">
      <alignment horizontal="center"/>
    </xf>
    <xf numFmtId="0" fontId="104" fillId="0" borderId="16" xfId="0" applyFont="1" applyBorder="1"/>
    <xf numFmtId="0" fontId="104" fillId="0" borderId="17" xfId="0" applyFont="1" applyBorder="1" applyAlignment="1">
      <alignment horizontal="center"/>
    </xf>
    <xf numFmtId="0" fontId="1" fillId="0" borderId="16" xfId="0" applyFont="1" applyBorder="1" applyAlignment="1">
      <alignment horizontal="center"/>
    </xf>
    <xf numFmtId="0" fontId="104" fillId="0" borderId="11" xfId="0" applyFont="1" applyBorder="1" applyAlignment="1">
      <alignment horizontal="center"/>
    </xf>
    <xf numFmtId="0" fontId="19" fillId="0" borderId="16" xfId="0" applyFont="1" applyBorder="1" applyAlignment="1">
      <alignment horizontal="center"/>
    </xf>
    <xf numFmtId="0" fontId="97" fillId="0" borderId="0" xfId="0" applyFont="1"/>
    <xf numFmtId="0" fontId="109" fillId="0" borderId="0" xfId="0" applyFont="1"/>
    <xf numFmtId="0" fontId="19" fillId="0" borderId="0" xfId="0" applyFont="1"/>
    <xf numFmtId="0" fontId="53" fillId="0" borderId="15" xfId="0" applyFont="1" applyBorder="1" applyAlignment="1">
      <alignment horizontal="right"/>
    </xf>
    <xf numFmtId="43" fontId="24" fillId="0" borderId="15" xfId="4" applyFont="1" applyFill="1" applyBorder="1"/>
    <xf numFmtId="0" fontId="110" fillId="0" borderId="0" xfId="0" applyFont="1"/>
    <xf numFmtId="43" fontId="29" fillId="0" borderId="0" xfId="0" applyNumberFormat="1" applyFont="1"/>
    <xf numFmtId="43" fontId="22" fillId="0" borderId="0" xfId="4" applyFont="1" applyFill="1" applyBorder="1" applyProtection="1">
      <protection hidden="1"/>
    </xf>
    <xf numFmtId="0" fontId="111" fillId="0" borderId="0" xfId="0" applyFont="1"/>
    <xf numFmtId="0" fontId="52" fillId="0" borderId="0" xfId="0" applyFont="1"/>
    <xf numFmtId="43" fontId="22" fillId="2" borderId="0" xfId="4" applyFont="1" applyFill="1" applyBorder="1" applyProtection="1">
      <protection locked="0"/>
    </xf>
    <xf numFmtId="49" fontId="12" fillId="0" borderId="20" xfId="5" applyNumberFormat="1" applyFont="1" applyBorder="1" applyAlignment="1">
      <alignment horizontal="center"/>
    </xf>
    <xf numFmtId="4" fontId="108" fillId="0" borderId="18" xfId="4" applyNumberFormat="1" applyFont="1" applyFill="1" applyBorder="1" applyAlignment="1">
      <alignment horizontal="right"/>
    </xf>
    <xf numFmtId="0" fontId="98" fillId="0" borderId="15" xfId="0" applyFont="1" applyBorder="1" applyAlignment="1">
      <alignment horizontal="center"/>
    </xf>
    <xf numFmtId="0" fontId="98" fillId="0" borderId="15" xfId="0" applyFont="1" applyBorder="1"/>
    <xf numFmtId="0" fontId="31" fillId="2" borderId="22" xfId="0" applyFont="1" applyFill="1" applyBorder="1"/>
    <xf numFmtId="0" fontId="31" fillId="2" borderId="25" xfId="0" applyFont="1" applyFill="1" applyBorder="1" applyAlignment="1">
      <alignment horizontal="center"/>
    </xf>
    <xf numFmtId="0" fontId="112" fillId="2" borderId="14" xfId="0" applyFont="1" applyFill="1" applyBorder="1" applyAlignment="1">
      <alignment horizontal="center" vertical="center" wrapText="1"/>
    </xf>
    <xf numFmtId="0" fontId="31" fillId="2" borderId="75" xfId="0" applyFont="1" applyFill="1" applyBorder="1" applyAlignment="1">
      <alignment horizontal="center"/>
    </xf>
    <xf numFmtId="0" fontId="107" fillId="2" borderId="73" xfId="0" applyFont="1" applyFill="1" applyBorder="1" applyAlignment="1">
      <alignment horizontal="center"/>
    </xf>
    <xf numFmtId="0" fontId="107" fillId="2" borderId="15" xfId="0" applyFont="1" applyFill="1" applyBorder="1" applyAlignment="1">
      <alignment horizontal="left"/>
    </xf>
    <xf numFmtId="0" fontId="107" fillId="2" borderId="73" xfId="0" applyFont="1" applyFill="1" applyBorder="1" applyAlignment="1">
      <alignment horizontal="left"/>
    </xf>
    <xf numFmtId="0" fontId="107" fillId="2" borderId="19" xfId="0" applyFont="1" applyFill="1" applyBorder="1" applyAlignment="1">
      <alignment horizontal="left"/>
    </xf>
    <xf numFmtId="0" fontId="1" fillId="0" borderId="0" xfId="5" applyFont="1" applyAlignment="1">
      <alignment horizontal="left"/>
    </xf>
    <xf numFmtId="0" fontId="1" fillId="0" borderId="7" xfId="5" applyFont="1" applyBorder="1" applyAlignment="1">
      <alignment horizontal="left"/>
    </xf>
    <xf numFmtId="43" fontId="1" fillId="0" borderId="0" xfId="4" applyFont="1" applyFill="1" applyBorder="1" applyAlignment="1">
      <alignment horizontal="center"/>
    </xf>
    <xf numFmtId="0" fontId="88" fillId="0" borderId="6" xfId="5" applyFont="1" applyBorder="1" applyAlignment="1">
      <alignment horizontal="left"/>
    </xf>
    <xf numFmtId="0" fontId="88" fillId="0" borderId="0" xfId="5" applyFont="1" applyAlignment="1">
      <alignment horizontal="left"/>
    </xf>
    <xf numFmtId="0" fontId="100" fillId="0" borderId="0" xfId="0" applyFont="1"/>
    <xf numFmtId="0" fontId="31" fillId="2" borderId="74" xfId="0" applyFont="1" applyFill="1" applyBorder="1" applyAlignment="1">
      <alignment horizontal="center" vertical="center" wrapText="1"/>
    </xf>
    <xf numFmtId="43" fontId="114" fillId="0" borderId="19" xfId="0" applyNumberFormat="1" applyFont="1" applyBorder="1" applyAlignment="1">
      <alignment horizontal="center"/>
    </xf>
    <xf numFmtId="0" fontId="112" fillId="2" borderId="22" xfId="0" applyFont="1" applyFill="1" applyBorder="1" applyAlignment="1">
      <alignment horizontal="center"/>
    </xf>
    <xf numFmtId="49" fontId="103" fillId="0" borderId="6" xfId="5" applyNumberFormat="1" applyFont="1" applyBorder="1" applyAlignment="1">
      <alignment horizontal="center"/>
    </xf>
    <xf numFmtId="49" fontId="104" fillId="0" borderId="0" xfId="5" applyNumberFormat="1" applyFont="1"/>
    <xf numFmtId="0" fontId="104" fillId="0" borderId="6" xfId="5" applyFont="1" applyBorder="1"/>
    <xf numFmtId="2" fontId="112" fillId="2" borderId="23" xfId="0" applyNumberFormat="1" applyFont="1" applyFill="1" applyBorder="1"/>
    <xf numFmtId="167" fontId="71" fillId="0" borderId="74" xfId="1" applyNumberFormat="1" applyFont="1" applyFill="1" applyBorder="1" applyProtection="1">
      <protection locked="0"/>
    </xf>
    <xf numFmtId="0" fontId="0" fillId="0" borderId="74" xfId="0" applyBorder="1"/>
    <xf numFmtId="43" fontId="118" fillId="2" borderId="15" xfId="1" applyFont="1" applyFill="1" applyBorder="1" applyAlignment="1">
      <alignment horizontal="left"/>
    </xf>
    <xf numFmtId="0" fontId="117" fillId="0" borderId="0" xfId="0" applyFont="1"/>
    <xf numFmtId="0" fontId="31" fillId="2" borderId="79" xfId="0" applyFont="1" applyFill="1" applyBorder="1" applyAlignment="1">
      <alignment horizontal="center" vertical="center" wrapText="1"/>
    </xf>
    <xf numFmtId="0" fontId="31" fillId="2" borderId="82" xfId="0" applyFont="1" applyFill="1" applyBorder="1" applyAlignment="1">
      <alignment horizontal="center" vertical="center" wrapText="1"/>
    </xf>
    <xf numFmtId="0" fontId="31" fillId="2" borderId="81" xfId="0" applyFont="1" applyFill="1" applyBorder="1" applyAlignment="1">
      <alignment horizontal="center" vertical="center" wrapText="1"/>
    </xf>
    <xf numFmtId="0" fontId="31" fillId="2" borderId="85" xfId="0" applyFont="1" applyFill="1" applyBorder="1" applyAlignment="1">
      <alignment horizontal="center" vertical="center" wrapText="1"/>
    </xf>
    <xf numFmtId="0" fontId="31" fillId="2" borderId="85" xfId="0" applyFont="1" applyFill="1" applyBorder="1" applyAlignment="1">
      <alignment horizontal="center"/>
    </xf>
    <xf numFmtId="0" fontId="31" fillId="2" borderId="86" xfId="0" applyFont="1" applyFill="1" applyBorder="1" applyAlignment="1">
      <alignment horizontal="center" vertical="center" wrapText="1"/>
    </xf>
    <xf numFmtId="0" fontId="31" fillId="2" borderId="87" xfId="0" applyFont="1" applyFill="1" applyBorder="1" applyAlignment="1">
      <alignment horizontal="center" vertical="center" wrapText="1"/>
    </xf>
    <xf numFmtId="0" fontId="29" fillId="2" borderId="6" xfId="0" applyFont="1" applyFill="1" applyBorder="1"/>
    <xf numFmtId="0" fontId="107" fillId="2" borderId="90" xfId="0" applyFont="1" applyFill="1" applyBorder="1" applyAlignment="1">
      <alignment horizontal="left"/>
    </xf>
    <xf numFmtId="0" fontId="31" fillId="2" borderId="84" xfId="0" applyFont="1" applyFill="1" applyBorder="1"/>
    <xf numFmtId="0" fontId="31" fillId="2" borderId="91" xfId="0" applyFont="1" applyFill="1" applyBorder="1" applyAlignment="1">
      <alignment horizontal="center"/>
    </xf>
    <xf numFmtId="0" fontId="1" fillId="0" borderId="96" xfId="5" applyFont="1" applyBorder="1"/>
    <xf numFmtId="0" fontId="1" fillId="0" borderId="93" xfId="5" applyFont="1" applyBorder="1"/>
    <xf numFmtId="0" fontId="1" fillId="0" borderId="94" xfId="5" applyFont="1" applyBorder="1"/>
    <xf numFmtId="0" fontId="1" fillId="0" borderId="92" xfId="5" applyFont="1" applyBorder="1"/>
    <xf numFmtId="0" fontId="88" fillId="0" borderId="97" xfId="5" applyFont="1" applyBorder="1"/>
    <xf numFmtId="0" fontId="88" fillId="0" borderId="99" xfId="5" applyFont="1" applyBorder="1" applyAlignment="1">
      <alignment horizontal="center"/>
    </xf>
    <xf numFmtId="0" fontId="1" fillId="0" borderId="97" xfId="5" applyFont="1" applyBorder="1"/>
    <xf numFmtId="0" fontId="1" fillId="0" borderId="98" xfId="5" applyFont="1" applyBorder="1"/>
    <xf numFmtId="0" fontId="89" fillId="0" borderId="98" xfId="5" applyFont="1" applyBorder="1" applyAlignment="1">
      <alignment horizontal="center"/>
    </xf>
    <xf numFmtId="0" fontId="89" fillId="0" borderId="96" xfId="5" applyFont="1" applyBorder="1"/>
    <xf numFmtId="0" fontId="89" fillId="0" borderId="93" xfId="5" applyFont="1" applyBorder="1"/>
    <xf numFmtId="0" fontId="75" fillId="0" borderId="92" xfId="5" applyFont="1" applyBorder="1" applyAlignment="1">
      <alignment textRotation="90"/>
    </xf>
    <xf numFmtId="0" fontId="1" fillId="0" borderId="99" xfId="5" applyFont="1" applyBorder="1"/>
    <xf numFmtId="0" fontId="4" fillId="0" borderId="96" xfId="5" applyFont="1" applyBorder="1"/>
    <xf numFmtId="0" fontId="4" fillId="0" borderId="93" xfId="5" applyFont="1" applyBorder="1"/>
    <xf numFmtId="0" fontId="70" fillId="0" borderId="96" xfId="5" applyFont="1" applyBorder="1"/>
    <xf numFmtId="0" fontId="4" fillId="0" borderId="94" xfId="5" applyFont="1" applyBorder="1"/>
    <xf numFmtId="0" fontId="67" fillId="0" borderId="0" xfId="0" applyFont="1" applyAlignment="1">
      <alignment horizontal="center"/>
    </xf>
    <xf numFmtId="49" fontId="67" fillId="0" borderId="0" xfId="0" applyNumberFormat="1" applyFont="1" applyAlignment="1">
      <alignment horizontal="center"/>
    </xf>
    <xf numFmtId="4" fontId="67" fillId="0" borderId="0" xfId="0" applyNumberFormat="1" applyFont="1" applyAlignment="1">
      <alignment horizontal="left"/>
    </xf>
    <xf numFmtId="0" fontId="77" fillId="0" borderId="0" xfId="0" applyFont="1" applyAlignment="1">
      <alignment horizontal="left"/>
    </xf>
    <xf numFmtId="49" fontId="71" fillId="0" borderId="0" xfId="0" applyNumberFormat="1" applyFont="1" applyAlignment="1">
      <alignment horizontal="center"/>
    </xf>
    <xf numFmtId="170" fontId="69" fillId="0" borderId="0" xfId="0" applyNumberFormat="1" applyFont="1" applyAlignment="1">
      <alignment horizontal="center"/>
    </xf>
    <xf numFmtId="43" fontId="71" fillId="0" borderId="2" xfId="1" applyFont="1" applyFill="1" applyBorder="1" applyAlignment="1" applyProtection="1">
      <alignment horizontal="center"/>
      <protection locked="0"/>
    </xf>
    <xf numFmtId="49" fontId="67" fillId="0" borderId="92" xfId="5" applyNumberFormat="1" applyFont="1" applyBorder="1" applyAlignment="1">
      <alignment horizontal="center"/>
    </xf>
    <xf numFmtId="49" fontId="67" fillId="0" borderId="74" xfId="5" applyNumberFormat="1" applyFont="1" applyBorder="1" applyAlignment="1">
      <alignment horizontal="center"/>
    </xf>
    <xf numFmtId="43" fontId="74" fillId="0" borderId="92" xfId="1" applyFont="1" applyFill="1" applyBorder="1" applyProtection="1">
      <protection locked="0"/>
    </xf>
    <xf numFmtId="43" fontId="74" fillId="0" borderId="74" xfId="1" applyFont="1" applyFill="1" applyBorder="1" applyProtection="1">
      <protection locked="0"/>
    </xf>
    <xf numFmtId="4" fontId="39" fillId="2" borderId="99" xfId="0" applyNumberFormat="1" applyFont="1" applyFill="1" applyBorder="1" applyAlignment="1">
      <alignment horizontal="center"/>
    </xf>
    <xf numFmtId="43" fontId="69" fillId="0" borderId="92" xfId="1" applyFont="1" applyFill="1" applyBorder="1" applyProtection="1">
      <protection locked="0"/>
    </xf>
    <xf numFmtId="43" fontId="75" fillId="0" borderId="92" xfId="1" applyFont="1" applyFill="1" applyBorder="1" applyAlignment="1" applyProtection="1">
      <alignment horizontal="center"/>
      <protection locked="0"/>
    </xf>
    <xf numFmtId="43" fontId="69" fillId="0" borderId="100" xfId="1" applyFont="1" applyFill="1" applyBorder="1" applyProtection="1">
      <protection locked="0"/>
    </xf>
    <xf numFmtId="43" fontId="69" fillId="0" borderId="99" xfId="1" applyFont="1" applyFill="1" applyBorder="1" applyProtection="1">
      <protection locked="0"/>
    </xf>
    <xf numFmtId="43" fontId="71" fillId="0" borderId="101" xfId="1" applyFont="1" applyFill="1" applyBorder="1" applyAlignment="1" applyProtection="1">
      <protection locked="0"/>
    </xf>
    <xf numFmtId="4" fontId="39" fillId="2" borderId="3" xfId="0" applyNumberFormat="1" applyFont="1" applyFill="1" applyBorder="1" applyAlignment="1">
      <alignment horizontal="center"/>
    </xf>
    <xf numFmtId="43" fontId="71" fillId="0" borderId="102" xfId="1" applyFont="1" applyFill="1" applyBorder="1" applyAlignment="1" applyProtection="1">
      <protection locked="0"/>
    </xf>
    <xf numFmtId="43" fontId="71" fillId="0" borderId="99" xfId="1" applyFont="1" applyFill="1" applyBorder="1" applyProtection="1">
      <protection locked="0"/>
    </xf>
    <xf numFmtId="43" fontId="71" fillId="0" borderId="92" xfId="1" applyFont="1" applyFill="1" applyBorder="1" applyProtection="1">
      <protection locked="0"/>
    </xf>
    <xf numFmtId="167" fontId="71" fillId="0" borderId="92" xfId="1" applyNumberFormat="1" applyFont="1" applyFill="1" applyBorder="1" applyProtection="1">
      <protection locked="0"/>
    </xf>
    <xf numFmtId="43" fontId="71" fillId="0" borderId="103" xfId="1" applyFont="1" applyFill="1" applyBorder="1" applyProtection="1">
      <protection locked="0"/>
    </xf>
    <xf numFmtId="43" fontId="71" fillId="0" borderId="90" xfId="1" applyFont="1" applyFill="1" applyBorder="1" applyProtection="1">
      <protection locked="0"/>
    </xf>
    <xf numFmtId="43" fontId="75" fillId="0" borderId="103" xfId="1" applyFont="1" applyFill="1" applyBorder="1" applyProtection="1">
      <protection locked="0"/>
    </xf>
    <xf numFmtId="43" fontId="75" fillId="0" borderId="90" xfId="1" applyFont="1" applyFill="1" applyBorder="1" applyProtection="1">
      <protection locked="0"/>
    </xf>
    <xf numFmtId="43" fontId="71" fillId="0" borderId="104" xfId="1" applyFont="1" applyFill="1" applyBorder="1" applyProtection="1">
      <protection locked="0"/>
    </xf>
    <xf numFmtId="43" fontId="71" fillId="0" borderId="92" xfId="4" applyFont="1" applyBorder="1"/>
    <xf numFmtId="43" fontId="71" fillId="0" borderId="103" xfId="4" applyFont="1" applyBorder="1"/>
    <xf numFmtId="43" fontId="67" fillId="0" borderId="103" xfId="1" applyFont="1" applyFill="1" applyBorder="1" applyProtection="1">
      <protection locked="0"/>
    </xf>
    <xf numFmtId="43" fontId="67" fillId="0" borderId="92" xfId="1" applyFont="1" applyFill="1" applyBorder="1" applyProtection="1">
      <protection locked="0"/>
    </xf>
    <xf numFmtId="43" fontId="71" fillId="0" borderId="103" xfId="1" applyFont="1" applyFill="1" applyBorder="1"/>
    <xf numFmtId="43" fontId="71" fillId="0" borderId="92" xfId="1" applyFont="1" applyFill="1" applyBorder="1"/>
    <xf numFmtId="43" fontId="71" fillId="0" borderId="3" xfId="1" applyFont="1" applyFill="1" applyBorder="1" applyAlignment="1" applyProtection="1">
      <alignment horizontal="center"/>
      <protection locked="0"/>
    </xf>
    <xf numFmtId="43" fontId="71" fillId="0" borderId="104" xfId="1" applyFont="1" applyFill="1" applyBorder="1" applyAlignment="1" applyProtection="1">
      <alignment horizontal="center"/>
      <protection locked="0"/>
    </xf>
    <xf numFmtId="4" fontId="71" fillId="0" borderId="102" xfId="1" applyNumberFormat="1" applyFont="1" applyFill="1" applyBorder="1" applyAlignment="1" applyProtection="1">
      <protection locked="0"/>
    </xf>
    <xf numFmtId="43" fontId="69" fillId="0" borderId="74" xfId="1" applyFont="1" applyFill="1" applyBorder="1" applyProtection="1">
      <protection locked="0"/>
    </xf>
    <xf numFmtId="0" fontId="69" fillId="0" borderId="103" xfId="0" applyFont="1" applyBorder="1"/>
    <xf numFmtId="0" fontId="69" fillId="0" borderId="33" xfId="0" applyFont="1" applyBorder="1"/>
    <xf numFmtId="0" fontId="1" fillId="0" borderId="30" xfId="0" applyFont="1" applyBorder="1" applyAlignment="1">
      <alignment wrapText="1"/>
    </xf>
    <xf numFmtId="0" fontId="1" fillId="0" borderId="31" xfId="0" applyFont="1" applyBorder="1" applyAlignment="1">
      <alignment wrapText="1"/>
    </xf>
    <xf numFmtId="49" fontId="78" fillId="0" borderId="0" xfId="0" applyNumberFormat="1" applyFont="1"/>
    <xf numFmtId="0" fontId="11" fillId="2" borderId="92" xfId="0" applyFont="1" applyFill="1" applyBorder="1"/>
    <xf numFmtId="14" fontId="11" fillId="0" borderId="92" xfId="0" applyNumberFormat="1" applyFont="1" applyBorder="1" applyAlignment="1">
      <alignment horizontal="center"/>
    </xf>
    <xf numFmtId="43" fontId="11" fillId="0" borderId="92" xfId="4" applyFont="1" applyFill="1" applyBorder="1"/>
    <xf numFmtId="49" fontId="11" fillId="0" borderId="92" xfId="0" applyNumberFormat="1" applyFont="1" applyBorder="1" applyAlignment="1">
      <alignment horizontal="center"/>
    </xf>
    <xf numFmtId="49" fontId="7" fillId="0" borderId="0" xfId="5" applyNumberFormat="1" applyFont="1" applyAlignment="1">
      <alignment horizontal="center"/>
    </xf>
    <xf numFmtId="14" fontId="32" fillId="0" borderId="15" xfId="0" applyNumberFormat="1" applyFont="1" applyBorder="1" applyAlignment="1">
      <alignment horizontal="center"/>
    </xf>
    <xf numFmtId="14" fontId="32" fillId="2" borderId="15" xfId="0" applyNumberFormat="1" applyFont="1" applyFill="1" applyBorder="1" applyAlignment="1">
      <alignment horizontal="center"/>
    </xf>
    <xf numFmtId="0" fontId="29" fillId="0" borderId="15" xfId="0" applyFont="1" applyBorder="1"/>
    <xf numFmtId="0" fontId="29" fillId="0" borderId="17" xfId="0" applyFont="1" applyBorder="1" applyAlignment="1">
      <alignment horizontal="center"/>
    </xf>
    <xf numFmtId="0" fontId="29" fillId="0" borderId="17" xfId="0" applyFont="1" applyBorder="1"/>
    <xf numFmtId="0" fontId="29" fillId="0" borderId="15" xfId="0" applyFont="1" applyBorder="1" applyAlignment="1">
      <alignment horizontal="center"/>
    </xf>
    <xf numFmtId="0" fontId="29" fillId="0" borderId="16" xfId="0" applyFont="1" applyBorder="1" applyAlignment="1">
      <alignment horizontal="center"/>
    </xf>
    <xf numFmtId="0" fontId="29" fillId="0" borderId="16" xfId="0" applyFont="1" applyBorder="1"/>
    <xf numFmtId="14" fontId="32" fillId="0" borderId="92" xfId="0" applyNumberFormat="1" applyFont="1" applyBorder="1" applyAlignment="1">
      <alignment horizontal="center"/>
    </xf>
    <xf numFmtId="0" fontId="59" fillId="0" borderId="86" xfId="0" applyFont="1" applyBorder="1" applyAlignment="1">
      <alignment vertical="center" wrapText="1"/>
    </xf>
    <xf numFmtId="0" fontId="59" fillId="0" borderId="86" xfId="0" applyFont="1" applyBorder="1" applyAlignment="1">
      <alignment horizontal="center"/>
    </xf>
    <xf numFmtId="0" fontId="59" fillId="0" borderId="86" xfId="0" applyFont="1" applyBorder="1"/>
    <xf numFmtId="0" fontId="59" fillId="0" borderId="93" xfId="0" applyFont="1" applyBorder="1" applyAlignment="1">
      <alignment horizontal="center"/>
    </xf>
    <xf numFmtId="0" fontId="59" fillId="0" borderId="93" xfId="0" applyFont="1" applyBorder="1"/>
    <xf numFmtId="0" fontId="59" fillId="0" borderId="94" xfId="0" applyFont="1" applyBorder="1"/>
    <xf numFmtId="0" fontId="59" fillId="0" borderId="17" xfId="0" applyFont="1" applyBorder="1" applyAlignment="1">
      <alignment vertical="center" wrapText="1"/>
    </xf>
    <xf numFmtId="0" fontId="59" fillId="0" borderId="11" xfId="0" applyFont="1" applyBorder="1" applyAlignment="1">
      <alignment horizontal="center"/>
    </xf>
    <xf numFmtId="0" fontId="59" fillId="0" borderId="17" xfId="0" applyFont="1" applyBorder="1" applyAlignment="1">
      <alignment horizontal="center"/>
    </xf>
    <xf numFmtId="0" fontId="59" fillId="0" borderId="17" xfId="0" applyFont="1" applyBorder="1"/>
    <xf numFmtId="0" fontId="59" fillId="0" borderId="10" xfId="0" applyFont="1" applyBorder="1"/>
    <xf numFmtId="0" fontId="59" fillId="0" borderId="16" xfId="0" applyFont="1" applyBorder="1"/>
    <xf numFmtId="0" fontId="28" fillId="0" borderId="92" xfId="0" applyFont="1" applyBorder="1"/>
    <xf numFmtId="14" fontId="27" fillId="0" borderId="15" xfId="0" applyNumberFormat="1" applyFont="1" applyBorder="1" applyAlignment="1">
      <alignment horizontal="center"/>
    </xf>
    <xf numFmtId="0" fontId="28" fillId="0" borderId="93" xfId="0" applyFont="1" applyBorder="1"/>
    <xf numFmtId="0" fontId="28" fillId="0" borderId="92" xfId="0" applyFont="1" applyBorder="1" applyAlignment="1">
      <alignment horizontal="center"/>
    </xf>
    <xf numFmtId="43" fontId="27" fillId="0" borderId="92" xfId="4" applyFont="1" applyBorder="1"/>
    <xf numFmtId="0" fontId="28" fillId="0" borderId="92" xfId="0" applyFont="1" applyBorder="1" applyAlignment="1">
      <alignment horizontal="left"/>
    </xf>
    <xf numFmtId="0" fontId="28" fillId="0" borderId="0" xfId="0" applyFont="1"/>
    <xf numFmtId="14" fontId="27" fillId="2" borderId="15" xfId="0" applyNumberFormat="1" applyFont="1" applyFill="1" applyBorder="1" applyAlignment="1">
      <alignment horizontal="center"/>
    </xf>
    <xf numFmtId="0" fontId="28" fillId="0" borderId="95" xfId="0" applyFont="1" applyBorder="1"/>
    <xf numFmtId="43" fontId="28" fillId="0" borderId="92" xfId="4" applyFont="1" applyBorder="1"/>
    <xf numFmtId="0" fontId="28" fillId="0" borderId="15" xfId="0" applyFont="1" applyBorder="1"/>
    <xf numFmtId="0" fontId="28" fillId="0" borderId="14" xfId="0" applyFont="1" applyBorder="1"/>
    <xf numFmtId="0" fontId="28" fillId="0" borderId="17" xfId="0" applyFont="1" applyBorder="1" applyAlignment="1">
      <alignment horizontal="center"/>
    </xf>
    <xf numFmtId="0" fontId="28" fillId="0" borderId="71" xfId="0" applyFont="1" applyBorder="1" applyAlignment="1">
      <alignment horizontal="center"/>
    </xf>
    <xf numFmtId="0" fontId="28" fillId="0" borderId="17" xfId="0" applyFont="1" applyBorder="1"/>
    <xf numFmtId="43" fontId="28" fillId="0" borderId="17" xfId="4" applyFont="1" applyBorder="1"/>
    <xf numFmtId="43" fontId="27" fillId="0" borderId="17" xfId="4" applyFont="1" applyBorder="1"/>
    <xf numFmtId="0" fontId="28" fillId="0" borderId="15" xfId="0" applyFont="1" applyBorder="1" applyAlignment="1">
      <alignment horizontal="center"/>
    </xf>
    <xf numFmtId="0" fontId="28" fillId="0" borderId="14" xfId="0" applyFont="1" applyBorder="1" applyAlignment="1">
      <alignment horizontal="center"/>
    </xf>
    <xf numFmtId="43" fontId="28" fillId="0" borderId="15" xfId="4" applyFont="1" applyBorder="1"/>
    <xf numFmtId="43" fontId="27" fillId="0" borderId="15" xfId="4" applyFont="1" applyBorder="1"/>
    <xf numFmtId="0" fontId="28" fillId="0" borderId="18" xfId="0" applyFont="1" applyBorder="1"/>
    <xf numFmtId="0" fontId="28" fillId="0" borderId="16" xfId="0" applyFont="1" applyBorder="1" applyAlignment="1">
      <alignment horizontal="center"/>
    </xf>
    <xf numFmtId="0" fontId="28" fillId="0" borderId="0" xfId="0" applyFont="1" applyAlignment="1">
      <alignment horizontal="center"/>
    </xf>
    <xf numFmtId="0" fontId="28" fillId="0" borderId="16" xfId="0" applyFont="1" applyBorder="1"/>
    <xf numFmtId="0" fontId="28" fillId="0" borderId="3" xfId="0" applyFont="1" applyBorder="1"/>
    <xf numFmtId="14" fontId="27" fillId="0" borderId="103" xfId="0" applyNumberFormat="1" applyFont="1" applyBorder="1" applyAlignment="1">
      <alignment horizontal="center"/>
    </xf>
    <xf numFmtId="43" fontId="28" fillId="0" borderId="16" xfId="4" applyFont="1" applyBorder="1"/>
    <xf numFmtId="0" fontId="28" fillId="0" borderId="103" xfId="0" applyFont="1" applyBorder="1"/>
    <xf numFmtId="14" fontId="27" fillId="0" borderId="92" xfId="0" applyNumberFormat="1" applyFont="1" applyBorder="1" applyAlignment="1">
      <alignment horizontal="center"/>
    </xf>
    <xf numFmtId="0" fontId="28" fillId="0" borderId="2" xfId="0" applyFont="1" applyBorder="1"/>
    <xf numFmtId="43" fontId="28" fillId="0" borderId="1" xfId="4" applyFont="1" applyBorder="1"/>
    <xf numFmtId="43" fontId="28" fillId="0" borderId="103" xfId="4" applyFont="1" applyBorder="1"/>
    <xf numFmtId="0" fontId="59" fillId="0" borderId="92" xfId="0" applyFont="1" applyBorder="1"/>
    <xf numFmtId="0" fontId="59" fillId="0" borderId="20" xfId="0" applyFont="1" applyBorder="1"/>
    <xf numFmtId="0" fontId="59" fillId="0" borderId="104" xfId="0" applyFont="1" applyBorder="1"/>
    <xf numFmtId="0" fontId="7" fillId="0" borderId="20" xfId="0" applyFont="1" applyBorder="1"/>
    <xf numFmtId="43" fontId="59" fillId="0" borderId="19" xfId="0" applyNumberFormat="1" applyFont="1" applyBorder="1"/>
    <xf numFmtId="43" fontId="59" fillId="0" borderId="92" xfId="0" applyNumberFormat="1" applyFont="1" applyBorder="1"/>
    <xf numFmtId="0" fontId="7" fillId="0" borderId="0" xfId="0" applyFont="1"/>
    <xf numFmtId="0" fontId="32" fillId="0" borderId="15" xfId="0" applyFont="1" applyBorder="1" applyAlignment="1">
      <alignment horizontal="left"/>
    </xf>
    <xf numFmtId="0" fontId="29" fillId="0" borderId="15" xfId="0" applyFont="1" applyBorder="1" applyAlignment="1">
      <alignment horizontal="left"/>
    </xf>
    <xf numFmtId="49" fontId="75" fillId="0" borderId="15" xfId="5" applyNumberFormat="1" applyFont="1" applyBorder="1" applyAlignment="1">
      <alignment horizontal="center"/>
    </xf>
    <xf numFmtId="49" fontId="75" fillId="0" borderId="15" xfId="5" applyNumberFormat="1" applyFont="1" applyBorder="1" applyAlignment="1">
      <alignment horizontal="left"/>
    </xf>
    <xf numFmtId="0" fontId="32" fillId="0" borderId="0" xfId="0" applyFont="1"/>
    <xf numFmtId="0" fontId="27" fillId="0" borderId="15" xfId="0" applyFont="1" applyBorder="1" applyAlignment="1">
      <alignment horizontal="left"/>
    </xf>
    <xf numFmtId="4" fontId="120" fillId="2" borderId="15" xfId="0" applyNumberFormat="1" applyFont="1" applyFill="1" applyBorder="1" applyAlignment="1">
      <alignment horizontal="right"/>
    </xf>
    <xf numFmtId="0" fontId="28" fillId="0" borderId="15" xfId="0" applyFont="1" applyBorder="1" applyAlignment="1">
      <alignment horizontal="left"/>
    </xf>
    <xf numFmtId="4" fontId="120" fillId="2" borderId="15" xfId="4" applyNumberFormat="1" applyFont="1" applyFill="1" applyBorder="1" applyAlignment="1">
      <alignment horizontal="right"/>
    </xf>
    <xf numFmtId="49" fontId="59" fillId="0" borderId="15" xfId="5" applyNumberFormat="1" applyFont="1" applyBorder="1" applyAlignment="1">
      <alignment horizontal="center"/>
    </xf>
    <xf numFmtId="4" fontId="120" fillId="2" borderId="15" xfId="4" applyNumberFormat="1" applyFont="1" applyFill="1" applyBorder="1"/>
    <xf numFmtId="49" fontId="59" fillId="0" borderId="19" xfId="5" applyNumberFormat="1" applyFont="1" applyBorder="1" applyAlignment="1">
      <alignment horizontal="center"/>
    </xf>
    <xf numFmtId="49" fontId="59" fillId="0" borderId="19" xfId="5" applyNumberFormat="1" applyFont="1" applyBorder="1" applyAlignment="1">
      <alignment horizontal="left"/>
    </xf>
    <xf numFmtId="49" fontId="59" fillId="0" borderId="15" xfId="5" applyNumberFormat="1" applyFont="1" applyBorder="1" applyAlignment="1">
      <alignment horizontal="left"/>
    </xf>
    <xf numFmtId="0" fontId="121" fillId="0" borderId="15" xfId="0" applyFont="1" applyBorder="1"/>
    <xf numFmtId="0" fontId="122" fillId="0" borderId="15" xfId="0" applyFont="1" applyBorder="1" applyAlignment="1">
      <alignment horizontal="center"/>
    </xf>
    <xf numFmtId="0" fontId="123" fillId="0" borderId="15" xfId="0" applyFont="1" applyBorder="1"/>
    <xf numFmtId="4" fontId="120" fillId="2" borderId="15" xfId="0" applyNumberFormat="1" applyFont="1" applyFill="1" applyBorder="1"/>
    <xf numFmtId="0" fontId="27" fillId="0" borderId="0" xfId="0" applyFont="1"/>
    <xf numFmtId="0" fontId="120" fillId="0" borderId="0" xfId="0" applyFont="1"/>
    <xf numFmtId="0" fontId="26" fillId="0" borderId="0" xfId="0" applyFont="1" applyAlignment="1">
      <alignment horizontal="center"/>
    </xf>
    <xf numFmtId="0" fontId="26" fillId="0" borderId="0" xfId="0" applyFont="1"/>
    <xf numFmtId="0" fontId="124" fillId="0" borderId="0" xfId="0" applyFont="1" applyAlignment="1">
      <alignment horizontal="center"/>
    </xf>
    <xf numFmtId="0" fontId="124" fillId="0" borderId="0" xfId="0" applyFont="1"/>
    <xf numFmtId="0" fontId="121" fillId="2" borderId="15" xfId="0" applyFont="1" applyFill="1" applyBorder="1"/>
    <xf numFmtId="0" fontId="121" fillId="0" borderId="15" xfId="0" applyFont="1" applyBorder="1" applyAlignment="1">
      <alignment horizontal="center"/>
    </xf>
    <xf numFmtId="43" fontId="28" fillId="0" borderId="15" xfId="0" applyNumberFormat="1" applyFont="1" applyBorder="1" applyAlignment="1">
      <alignment horizontal="center"/>
    </xf>
    <xf numFmtId="43" fontId="28" fillId="0" borderId="15" xfId="0" applyNumberFormat="1" applyFont="1" applyBorder="1"/>
    <xf numFmtId="43" fontId="59" fillId="0" borderId="15" xfId="1" applyFont="1" applyFill="1" applyBorder="1" applyProtection="1">
      <protection locked="0"/>
    </xf>
    <xf numFmtId="43" fontId="59" fillId="0" borderId="18" xfId="1" applyFont="1" applyFill="1" applyBorder="1" applyProtection="1">
      <protection locked="0"/>
    </xf>
    <xf numFmtId="43" fontId="59" fillId="0" borderId="10" xfId="1" applyFont="1" applyFill="1" applyBorder="1" applyProtection="1">
      <protection locked="0"/>
    </xf>
    <xf numFmtId="43" fontId="121" fillId="0" borderId="15" xfId="4" applyFont="1" applyFill="1" applyBorder="1" applyAlignment="1" applyProtection="1">
      <alignment shrinkToFit="1"/>
      <protection locked="0"/>
    </xf>
    <xf numFmtId="0" fontId="125" fillId="0" borderId="15" xfId="0" applyFont="1" applyBorder="1"/>
    <xf numFmtId="43" fontId="121" fillId="0" borderId="15" xfId="4" applyFont="1" applyFill="1" applyBorder="1" applyProtection="1">
      <protection locked="0"/>
    </xf>
    <xf numFmtId="43" fontId="121" fillId="2" borderId="15" xfId="4" applyFont="1" applyFill="1" applyBorder="1" applyProtection="1">
      <protection locked="0"/>
    </xf>
    <xf numFmtId="43" fontId="121" fillId="2" borderId="15" xfId="4" applyFont="1" applyFill="1" applyBorder="1"/>
    <xf numFmtId="0" fontId="121" fillId="0" borderId="16" xfId="0" applyFont="1" applyBorder="1"/>
    <xf numFmtId="43" fontId="121" fillId="2" borderId="16" xfId="4" applyFont="1" applyFill="1" applyBorder="1"/>
    <xf numFmtId="0" fontId="29" fillId="0" borderId="0" xfId="0" applyFont="1"/>
    <xf numFmtId="0" fontId="18" fillId="0" borderId="17" xfId="0" applyFont="1" applyBorder="1" applyAlignment="1">
      <alignment horizontal="center"/>
    </xf>
    <xf numFmtId="43" fontId="18" fillId="2" borderId="15" xfId="4" applyFont="1" applyFill="1" applyBorder="1" applyAlignment="1">
      <alignment horizontal="left"/>
    </xf>
    <xf numFmtId="43" fontId="18" fillId="2" borderId="15" xfId="4" applyFont="1" applyFill="1" applyBorder="1"/>
    <xf numFmtId="43" fontId="18" fillId="2" borderId="15" xfId="0" applyNumberFormat="1" applyFont="1" applyFill="1" applyBorder="1"/>
    <xf numFmtId="0" fontId="29" fillId="0" borderId="72" xfId="0" applyFont="1" applyBorder="1"/>
    <xf numFmtId="0" fontId="29" fillId="0" borderId="20" xfId="0" applyFont="1" applyBorder="1"/>
    <xf numFmtId="0" fontId="91" fillId="0" borderId="20" xfId="0" applyFont="1" applyBorder="1"/>
    <xf numFmtId="168" fontId="19" fillId="0" borderId="18" xfId="0" applyNumberFormat="1" applyFont="1" applyBorder="1"/>
    <xf numFmtId="0" fontId="91" fillId="0" borderId="0" xfId="0" applyFont="1"/>
    <xf numFmtId="0" fontId="32" fillId="0" borderId="3" xfId="0" applyFont="1" applyBorder="1" applyAlignment="1">
      <alignment vertical="center"/>
    </xf>
    <xf numFmtId="0" fontId="32" fillId="0" borderId="16" xfId="0" applyFont="1" applyBorder="1" applyAlignment="1">
      <alignment horizontal="center" vertical="center"/>
    </xf>
    <xf numFmtId="0" fontId="32" fillId="0" borderId="18" xfId="0" applyFont="1" applyBorder="1" applyAlignment="1">
      <alignment horizontal="center"/>
    </xf>
    <xf numFmtId="0" fontId="32" fillId="0" borderId="15" xfId="0" applyFont="1" applyBorder="1" applyAlignment="1">
      <alignment horizontal="center"/>
    </xf>
    <xf numFmtId="0" fontId="32" fillId="0" borderId="16" xfId="0" applyFont="1" applyBorder="1"/>
    <xf numFmtId="0" fontId="32" fillId="0" borderId="11" xfId="0" applyFont="1" applyBorder="1" applyAlignment="1">
      <alignment vertical="center"/>
    </xf>
    <xf numFmtId="0" fontId="32" fillId="0" borderId="17" xfId="0" applyFont="1" applyBorder="1" applyAlignment="1">
      <alignment horizontal="center" vertical="center"/>
    </xf>
    <xf numFmtId="0" fontId="32" fillId="0" borderId="17" xfId="0" applyFont="1" applyBorder="1"/>
    <xf numFmtId="0" fontId="119" fillId="0" borderId="15" xfId="0" applyFont="1" applyBorder="1" applyAlignment="1" applyProtection="1">
      <alignment horizontal="left"/>
      <protection locked="0"/>
    </xf>
    <xf numFmtId="0" fontId="32" fillId="0" borderId="15" xfId="0" applyFont="1" applyBorder="1"/>
    <xf numFmtId="0" fontId="119" fillId="0" borderId="15" xfId="0" applyFont="1" applyBorder="1" applyAlignment="1">
      <alignment horizontal="left"/>
    </xf>
    <xf numFmtId="43" fontId="32" fillId="0" borderId="15" xfId="2" applyNumberFormat="1" applyFont="1" applyFill="1" applyBorder="1"/>
    <xf numFmtId="43" fontId="32" fillId="0" borderId="15" xfId="0" applyNumberFormat="1" applyFont="1" applyBorder="1"/>
    <xf numFmtId="49" fontId="32" fillId="0" borderId="15" xfId="0" applyNumberFormat="1" applyFont="1" applyBorder="1"/>
    <xf numFmtId="0" fontId="32" fillId="0" borderId="2" xfId="0" applyFont="1" applyBorder="1" applyAlignment="1">
      <alignment horizontal="left"/>
    </xf>
    <xf numFmtId="0" fontId="119" fillId="0" borderId="15" xfId="0" applyFont="1" applyBorder="1" applyProtection="1">
      <protection locked="0"/>
    </xf>
    <xf numFmtId="0" fontId="119" fillId="0" borderId="3" xfId="0" applyFont="1" applyBorder="1" applyAlignment="1" applyProtection="1">
      <alignment horizontal="center" vertical="center"/>
      <protection locked="0"/>
    </xf>
    <xf numFmtId="0" fontId="32" fillId="0" borderId="20" xfId="0" applyFont="1" applyBorder="1" applyAlignment="1">
      <alignment horizontal="left"/>
    </xf>
    <xf numFmtId="0" fontId="32" fillId="0" borderId="20" xfId="0" applyFont="1" applyBorder="1" applyAlignment="1">
      <alignment horizontal="center"/>
    </xf>
    <xf numFmtId="0" fontId="24" fillId="0" borderId="18" xfId="0" applyFont="1" applyBorder="1" applyAlignment="1">
      <alignment horizontal="center"/>
    </xf>
    <xf numFmtId="164" fontId="24" fillId="0" borderId="19" xfId="0" applyNumberFormat="1" applyFont="1" applyBorder="1" applyAlignment="1">
      <alignment horizontal="center"/>
    </xf>
    <xf numFmtId="164" fontId="24" fillId="0" borderId="15" xfId="0" applyNumberFormat="1" applyFont="1" applyBorder="1" applyAlignment="1">
      <alignment horizontal="center"/>
    </xf>
    <xf numFmtId="0" fontId="32" fillId="0" borderId="0" xfId="0" applyFont="1" applyAlignment="1">
      <alignment horizontal="left"/>
    </xf>
    <xf numFmtId="0" fontId="32" fillId="0" borderId="0" xfId="0" applyFont="1" applyAlignment="1">
      <alignment horizontal="center"/>
    </xf>
    <xf numFmtId="0" fontId="32" fillId="0" borderId="16" xfId="0" applyFont="1" applyBorder="1" applyAlignment="1">
      <alignment wrapText="1"/>
    </xf>
    <xf numFmtId="0" fontId="32" fillId="0" borderId="17" xfId="0" applyFont="1" applyBorder="1" applyAlignment="1">
      <alignment horizontal="center" wrapText="1"/>
    </xf>
    <xf numFmtId="0" fontId="32" fillId="0" borderId="17" xfId="0" applyFont="1" applyBorder="1" applyAlignment="1">
      <alignment horizontal="center"/>
    </xf>
    <xf numFmtId="43" fontId="32" fillId="0" borderId="15" xfId="0" applyNumberFormat="1" applyFont="1" applyBorder="1" applyAlignment="1">
      <alignment horizontal="center"/>
    </xf>
    <xf numFmtId="0" fontId="119" fillId="0" borderId="15" xfId="0" applyFont="1" applyBorder="1" applyAlignment="1" applyProtection="1">
      <alignment horizontal="center"/>
      <protection locked="0"/>
    </xf>
    <xf numFmtId="1" fontId="32" fillId="0" borderId="15" xfId="0" applyNumberFormat="1" applyFont="1" applyBorder="1" applyAlignment="1">
      <alignment horizontal="center"/>
    </xf>
    <xf numFmtId="1" fontId="32" fillId="0" borderId="15" xfId="0" applyNumberFormat="1" applyFont="1" applyBorder="1"/>
    <xf numFmtId="0" fontId="32" fillId="0" borderId="92" xfId="0" applyFont="1" applyBorder="1" applyAlignment="1">
      <alignment horizontal="left"/>
    </xf>
    <xf numFmtId="0" fontId="119" fillId="0" borderId="92" xfId="0" applyFont="1" applyBorder="1" applyAlignment="1" applyProtection="1">
      <alignment horizontal="left"/>
      <protection locked="0"/>
    </xf>
    <xf numFmtId="0" fontId="32" fillId="0" borderId="92" xfId="0" applyFont="1" applyBorder="1"/>
    <xf numFmtId="43" fontId="32" fillId="0" borderId="74" xfId="0" applyNumberFormat="1" applyFont="1" applyBorder="1" applyAlignment="1">
      <alignment horizontal="center"/>
    </xf>
    <xf numFmtId="43" fontId="32" fillId="0" borderId="74" xfId="0" applyNumberFormat="1" applyFont="1" applyBorder="1"/>
    <xf numFmtId="0" fontId="119" fillId="0" borderId="92" xfId="0" applyFont="1" applyBorder="1" applyProtection="1">
      <protection locked="0"/>
    </xf>
    <xf numFmtId="0" fontId="119" fillId="0" borderId="92" xfId="0" applyFont="1" applyBorder="1" applyAlignment="1" applyProtection="1">
      <alignment horizontal="center" vertical="center"/>
      <protection locked="0"/>
    </xf>
    <xf numFmtId="0" fontId="119" fillId="0" borderId="17" xfId="0" applyFont="1" applyBorder="1" applyProtection="1">
      <protection locked="0"/>
    </xf>
    <xf numFmtId="43" fontId="32" fillId="0" borderId="17" xfId="2" applyNumberFormat="1" applyFont="1" applyFill="1" applyBorder="1"/>
    <xf numFmtId="0" fontId="32" fillId="0" borderId="19" xfId="0" applyFont="1" applyBorder="1" applyAlignment="1">
      <alignment horizontal="left"/>
    </xf>
    <xf numFmtId="0" fontId="32" fillId="0" borderId="10" xfId="0" applyFont="1" applyBorder="1"/>
    <xf numFmtId="0" fontId="23" fillId="0" borderId="0" xfId="0" applyFont="1" applyAlignment="1">
      <alignment horizontal="center"/>
    </xf>
    <xf numFmtId="2" fontId="31" fillId="2" borderId="105" xfId="0" applyNumberFormat="1" applyFont="1" applyFill="1" applyBorder="1"/>
    <xf numFmtId="166" fontId="31" fillId="2" borderId="105" xfId="3" applyNumberFormat="1" applyFont="1" applyFill="1" applyBorder="1"/>
    <xf numFmtId="166" fontId="31" fillId="2" borderId="105" xfId="3" applyNumberFormat="1" applyFont="1" applyFill="1" applyBorder="1" applyAlignment="1">
      <alignment horizontal="center"/>
    </xf>
    <xf numFmtId="43" fontId="31" fillId="2" borderId="106" xfId="4" applyFont="1" applyFill="1" applyBorder="1"/>
    <xf numFmtId="0" fontId="31" fillId="2" borderId="108" xfId="0" applyFont="1" applyFill="1" applyBorder="1" applyAlignment="1">
      <alignment horizontal="center"/>
    </xf>
    <xf numFmtId="2" fontId="31" fillId="2" borderId="109" xfId="0" applyNumberFormat="1" applyFont="1" applyFill="1" applyBorder="1"/>
    <xf numFmtId="43" fontId="31" fillId="2" borderId="109" xfId="4" applyFont="1" applyFill="1" applyBorder="1" applyAlignment="1">
      <alignment horizontal="center"/>
    </xf>
    <xf numFmtId="0" fontId="107" fillId="2" borderId="103" xfId="0" applyFont="1" applyFill="1" applyBorder="1" applyAlignment="1">
      <alignment horizontal="left"/>
    </xf>
    <xf numFmtId="0" fontId="31" fillId="2" borderId="110" xfId="0" applyFont="1" applyFill="1" applyBorder="1"/>
    <xf numFmtId="0" fontId="31" fillId="2" borderId="107" xfId="0" applyFont="1" applyFill="1" applyBorder="1"/>
    <xf numFmtId="0" fontId="31" fillId="2" borderId="107" xfId="0" applyFont="1" applyFill="1" applyBorder="1" applyAlignment="1">
      <alignment horizontal="center"/>
    </xf>
    <xf numFmtId="0" fontId="29" fillId="2" borderId="107" xfId="0" applyFont="1" applyFill="1" applyBorder="1" applyAlignment="1">
      <alignment horizontal="left"/>
    </xf>
    <xf numFmtId="0" fontId="28" fillId="2" borderId="0" xfId="0" applyFont="1" applyFill="1" applyAlignment="1">
      <alignment horizontal="center"/>
    </xf>
    <xf numFmtId="0" fontId="122" fillId="2" borderId="0" xfId="0" applyFont="1" applyFill="1" applyAlignment="1">
      <alignment horizontal="center"/>
    </xf>
    <xf numFmtId="0" fontId="126" fillId="2" borderId="0" xfId="0" applyFont="1" applyFill="1"/>
    <xf numFmtId="2" fontId="126" fillId="2" borderId="0" xfId="0" applyNumberFormat="1" applyFont="1" applyFill="1"/>
    <xf numFmtId="166" fontId="126" fillId="2" borderId="0" xfId="3" applyNumberFormat="1" applyFont="1" applyFill="1" applyBorder="1"/>
    <xf numFmtId="2" fontId="116" fillId="2" borderId="0" xfId="0" applyNumberFormat="1" applyFont="1" applyFill="1"/>
    <xf numFmtId="166" fontId="126" fillId="2" borderId="0" xfId="3" applyNumberFormat="1" applyFont="1" applyFill="1" applyBorder="1" applyAlignment="1">
      <alignment horizontal="center"/>
    </xf>
    <xf numFmtId="43" fontId="11" fillId="0" borderId="10" xfId="1" applyFont="1" applyFill="1" applyBorder="1" applyAlignment="1" applyProtection="1">
      <alignment horizontal="left"/>
      <protection locked="0"/>
    </xf>
    <xf numFmtId="0" fontId="11" fillId="2" borderId="15" xfId="0" applyFont="1" applyFill="1" applyBorder="1" applyAlignment="1">
      <alignment horizontal="left"/>
    </xf>
    <xf numFmtId="14" fontId="121" fillId="0" borderId="15" xfId="0" applyNumberFormat="1" applyFont="1" applyBorder="1"/>
    <xf numFmtId="4" fontId="120" fillId="2" borderId="92" xfId="4" applyNumberFormat="1" applyFont="1" applyFill="1" applyBorder="1"/>
    <xf numFmtId="0" fontId="122" fillId="0" borderId="15" xfId="0" applyFont="1" applyBorder="1" applyAlignment="1">
      <alignment horizontal="left"/>
    </xf>
    <xf numFmtId="14" fontId="127" fillId="0" borderId="15" xfId="0" applyNumberFormat="1" applyFont="1" applyBorder="1" applyAlignment="1">
      <alignment horizontal="center"/>
    </xf>
    <xf numFmtId="4" fontId="128" fillId="2" borderId="15" xfId="4" applyNumberFormat="1" applyFont="1" applyFill="1" applyBorder="1" applyAlignment="1">
      <alignment horizontal="right"/>
    </xf>
    <xf numFmtId="43" fontId="121" fillId="2" borderId="92" xfId="4" applyFont="1" applyFill="1" applyBorder="1" applyProtection="1">
      <protection locked="0"/>
    </xf>
    <xf numFmtId="49" fontId="69" fillId="2" borderId="0" xfId="0" applyNumberFormat="1" applyFont="1" applyFill="1"/>
    <xf numFmtId="0" fontId="29" fillId="2" borderId="90" xfId="0" applyFont="1" applyFill="1" applyBorder="1" applyAlignment="1">
      <alignment horizontal="left"/>
    </xf>
    <xf numFmtId="0" fontId="130" fillId="0" borderId="15" xfId="0" applyFont="1" applyBorder="1"/>
    <xf numFmtId="0" fontId="131" fillId="0" borderId="15" xfId="0" applyFont="1" applyBorder="1"/>
    <xf numFmtId="4" fontId="3" fillId="0" borderId="0" xfId="0" applyNumberFormat="1" applyFont="1"/>
    <xf numFmtId="4" fontId="67" fillId="0" borderId="0" xfId="0" applyNumberFormat="1" applyFont="1"/>
    <xf numFmtId="43" fontId="74" fillId="0" borderId="98" xfId="1" applyFont="1" applyFill="1" applyBorder="1" applyProtection="1">
      <protection locked="0"/>
    </xf>
    <xf numFmtId="4" fontId="39" fillId="2" borderId="92" xfId="0" applyNumberFormat="1" applyFont="1" applyFill="1" applyBorder="1" applyAlignment="1">
      <alignment horizontal="center"/>
    </xf>
    <xf numFmtId="43" fontId="71" fillId="0" borderId="74" xfId="1" applyFont="1" applyFill="1" applyBorder="1" applyProtection="1">
      <protection locked="0"/>
    </xf>
    <xf numFmtId="43" fontId="71" fillId="0" borderId="74" xfId="1" applyFont="1" applyFill="1" applyBorder="1" applyAlignment="1" applyProtection="1">
      <alignment horizontal="left"/>
      <protection locked="0"/>
    </xf>
    <xf numFmtId="43" fontId="71" fillId="0" borderId="111" xfId="1" applyFont="1" applyFill="1" applyBorder="1" applyProtection="1">
      <protection locked="0"/>
    </xf>
    <xf numFmtId="43" fontId="71" fillId="0" borderId="74" xfId="1" applyFont="1" applyFill="1" applyBorder="1"/>
    <xf numFmtId="43" fontId="71" fillId="0" borderId="98" xfId="1" applyFont="1" applyFill="1" applyBorder="1" applyProtection="1">
      <protection locked="0"/>
    </xf>
    <xf numFmtId="43" fontId="71" fillId="0" borderId="92" xfId="1" applyFont="1" applyFill="1" applyBorder="1" applyAlignment="1" applyProtection="1">
      <alignment horizontal="center"/>
      <protection locked="0"/>
    </xf>
    <xf numFmtId="43" fontId="71" fillId="0" borderId="111" xfId="1" applyFont="1" applyFill="1" applyBorder="1" applyAlignment="1" applyProtection="1">
      <alignment horizontal="center"/>
      <protection locked="0"/>
    </xf>
    <xf numFmtId="43" fontId="71" fillId="0" borderId="112" xfId="1" applyFont="1" applyFill="1" applyBorder="1" applyProtection="1">
      <protection locked="0"/>
    </xf>
    <xf numFmtId="43" fontId="59" fillId="0" borderId="92" xfId="1" applyFont="1" applyFill="1" applyBorder="1" applyAlignment="1" applyProtection="1">
      <alignment horizontal="center"/>
      <protection locked="0"/>
    </xf>
    <xf numFmtId="0" fontId="11" fillId="2" borderId="104" xfId="0" applyFont="1" applyFill="1" applyBorder="1"/>
    <xf numFmtId="43" fontId="32" fillId="0" borderId="92" xfId="2" applyNumberFormat="1" applyFont="1" applyFill="1" applyBorder="1"/>
    <xf numFmtId="43" fontId="32" fillId="0" borderId="92" xfId="0" applyNumberFormat="1" applyFont="1" applyBorder="1"/>
    <xf numFmtId="0" fontId="29" fillId="0" borderId="92" xfId="0" applyFont="1" applyBorder="1" applyAlignment="1">
      <alignment horizontal="center"/>
    </xf>
    <xf numFmtId="0" fontId="29" fillId="0" borderId="92" xfId="0" applyFont="1" applyBorder="1" applyAlignment="1">
      <alignment horizontal="left"/>
    </xf>
    <xf numFmtId="43" fontId="18" fillId="2" borderId="92" xfId="4" applyFont="1" applyFill="1" applyBorder="1" applyAlignment="1">
      <alignment horizontal="left"/>
    </xf>
    <xf numFmtId="0" fontId="31" fillId="2" borderId="115" xfId="0" applyFont="1" applyFill="1" applyBorder="1"/>
    <xf numFmtId="2" fontId="112" fillId="2" borderId="113" xfId="0" applyNumberFormat="1" applyFont="1" applyFill="1" applyBorder="1"/>
    <xf numFmtId="2" fontId="31" fillId="2" borderId="113" xfId="0" applyNumberFormat="1" applyFont="1" applyFill="1" applyBorder="1"/>
    <xf numFmtId="166" fontId="31" fillId="2" borderId="113" xfId="3" applyNumberFormat="1" applyFont="1" applyFill="1" applyBorder="1"/>
    <xf numFmtId="166" fontId="31" fillId="2" borderId="113" xfId="3" applyNumberFormat="1" applyFont="1" applyFill="1" applyBorder="1" applyAlignment="1">
      <alignment horizontal="center"/>
    </xf>
    <xf numFmtId="41" fontId="31" fillId="2" borderId="113" xfId="3" applyFont="1" applyFill="1" applyBorder="1" applyAlignment="1">
      <alignment horizontal="center"/>
    </xf>
    <xf numFmtId="43" fontId="31" fillId="2" borderId="116" xfId="4" applyFont="1" applyFill="1" applyBorder="1"/>
    <xf numFmtId="0" fontId="29" fillId="2" borderId="114" xfId="0" applyFont="1" applyFill="1" applyBorder="1" applyAlignment="1">
      <alignment horizontal="left"/>
    </xf>
    <xf numFmtId="0" fontId="29" fillId="2" borderId="97" xfId="0" applyFont="1" applyFill="1" applyBorder="1" applyAlignment="1">
      <alignment horizontal="left"/>
    </xf>
    <xf numFmtId="0" fontId="28" fillId="0" borderId="114" xfId="0" applyFont="1" applyBorder="1"/>
    <xf numFmtId="14" fontId="27" fillId="0" borderId="114" xfId="0" applyNumberFormat="1" applyFont="1" applyBorder="1" applyAlignment="1">
      <alignment horizontal="center"/>
    </xf>
    <xf numFmtId="0" fontId="28" fillId="0" borderId="114" xfId="0" applyFont="1" applyBorder="1" applyAlignment="1">
      <alignment horizontal="center"/>
    </xf>
    <xf numFmtId="43" fontId="28" fillId="0" borderId="114" xfId="4" applyFont="1" applyBorder="1"/>
    <xf numFmtId="43" fontId="27" fillId="0" borderId="114" xfId="4" applyFont="1" applyBorder="1"/>
    <xf numFmtId="0" fontId="28" fillId="0" borderId="71" xfId="0" applyFont="1" applyBorder="1"/>
    <xf numFmtId="0" fontId="98" fillId="0" borderId="0" xfId="0" applyFont="1"/>
    <xf numFmtId="43" fontId="11" fillId="0" borderId="114" xfId="4" applyFont="1" applyFill="1" applyBorder="1"/>
    <xf numFmtId="0" fontId="15" fillId="0" borderId="16" xfId="0" applyFont="1" applyBorder="1" applyAlignment="1">
      <alignment horizontal="center"/>
    </xf>
    <xf numFmtId="0" fontId="132" fillId="0" borderId="0" xfId="0" applyFont="1"/>
    <xf numFmtId="0" fontId="133" fillId="0" borderId="0" xfId="0" applyFont="1"/>
    <xf numFmtId="0" fontId="32" fillId="0" borderId="14" xfId="0" applyFont="1" applyBorder="1" applyAlignment="1">
      <alignment horizontal="center"/>
    </xf>
    <xf numFmtId="0" fontId="27" fillId="0" borderId="16" xfId="0" applyFont="1" applyBorder="1" applyAlignment="1">
      <alignment horizontal="center"/>
    </xf>
    <xf numFmtId="0" fontId="129" fillId="2" borderId="0" xfId="0" applyFont="1" applyFill="1"/>
    <xf numFmtId="0" fontId="17" fillId="0" borderId="0" xfId="0" applyFont="1" applyAlignment="1">
      <alignment horizontal="center"/>
    </xf>
    <xf numFmtId="0" fontId="29" fillId="0" borderId="114" xfId="0" applyFont="1" applyBorder="1" applyAlignment="1">
      <alignment horizontal="center"/>
    </xf>
    <xf numFmtId="0" fontId="29" fillId="0" borderId="114" xfId="0" applyFont="1" applyBorder="1" applyAlignment="1">
      <alignment horizontal="left"/>
    </xf>
    <xf numFmtId="14" fontId="32" fillId="0" borderId="114" xfId="0" applyNumberFormat="1" applyFont="1" applyBorder="1" applyAlignment="1">
      <alignment horizontal="center"/>
    </xf>
    <xf numFmtId="43" fontId="18" fillId="2" borderId="114" xfId="4" applyFont="1" applyFill="1" applyBorder="1"/>
    <xf numFmtId="0" fontId="54" fillId="0" borderId="114" xfId="0" applyFont="1" applyBorder="1" applyAlignment="1">
      <alignment horizontal="left"/>
    </xf>
    <xf numFmtId="0" fontId="69" fillId="2" borderId="32" xfId="0" applyFont="1" applyFill="1" applyBorder="1" applyAlignment="1" applyProtection="1">
      <alignment horizontal="center"/>
      <protection locked="0"/>
    </xf>
    <xf numFmtId="0" fontId="69" fillId="2" borderId="6" xfId="0" applyFont="1" applyFill="1" applyBorder="1"/>
    <xf numFmtId="49" fontId="129" fillId="2" borderId="0" xfId="0" applyNumberFormat="1" applyFont="1" applyFill="1"/>
    <xf numFmtId="0" fontId="79" fillId="2" borderId="9" xfId="0" applyFont="1" applyFill="1" applyBorder="1"/>
    <xf numFmtId="0" fontId="134" fillId="2" borderId="0" xfId="0" applyFont="1" applyFill="1"/>
    <xf numFmtId="4" fontId="39" fillId="2" borderId="104" xfId="0" applyNumberFormat="1" applyFont="1" applyFill="1" applyBorder="1" applyAlignment="1">
      <alignment horizontal="center"/>
    </xf>
    <xf numFmtId="0" fontId="11" fillId="0" borderId="0" xfId="0" applyFont="1" applyAlignment="1">
      <alignment horizontal="center"/>
    </xf>
    <xf numFmtId="0" fontId="15" fillId="0" borderId="0" xfId="0" applyFont="1" applyAlignment="1">
      <alignment horizontal="center"/>
    </xf>
    <xf numFmtId="43" fontId="15" fillId="0" borderId="0" xfId="0" applyNumberFormat="1" applyFont="1" applyAlignment="1">
      <alignment horizontal="left"/>
    </xf>
    <xf numFmtId="165" fontId="15" fillId="0" borderId="0" xfId="0" applyNumberFormat="1" applyFont="1" applyAlignment="1">
      <alignment horizontal="left"/>
    </xf>
    <xf numFmtId="0" fontId="15" fillId="0" borderId="0" xfId="0" applyFont="1" applyAlignment="1">
      <alignment horizontal="left"/>
    </xf>
    <xf numFmtId="43" fontId="11" fillId="0" borderId="0" xfId="0" applyNumberFormat="1" applyFont="1" applyAlignment="1">
      <alignment horizontal="left"/>
    </xf>
    <xf numFmtId="0" fontId="11" fillId="0" borderId="0" xfId="0" applyFont="1" applyAlignment="1">
      <alignment horizontal="left"/>
    </xf>
    <xf numFmtId="165" fontId="11" fillId="0" borderId="0" xfId="0" applyNumberFormat="1" applyFont="1" applyAlignment="1">
      <alignment horizontal="left"/>
    </xf>
    <xf numFmtId="0" fontId="17" fillId="0" borderId="0" xfId="0" applyFont="1" applyAlignment="1">
      <alignment horizontal="center"/>
    </xf>
    <xf numFmtId="0" fontId="88" fillId="0" borderId="1" xfId="5" applyFont="1" applyBorder="1" applyAlignment="1">
      <alignment horizontal="center"/>
    </xf>
    <xf numFmtId="0" fontId="88" fillId="0" borderId="2" xfId="5" applyFont="1" applyBorder="1" applyAlignment="1">
      <alignment horizontal="center"/>
    </xf>
    <xf numFmtId="0" fontId="88" fillId="0" borderId="3" xfId="5" applyFont="1" applyBorder="1" applyAlignment="1">
      <alignment horizontal="center"/>
    </xf>
    <xf numFmtId="0" fontId="7" fillId="0" borderId="6" xfId="5" applyFont="1" applyBorder="1" applyAlignment="1">
      <alignment horizontal="center"/>
    </xf>
    <xf numFmtId="0" fontId="7" fillId="0" borderId="0" xfId="5" applyFont="1" applyAlignment="1">
      <alignment horizontal="center"/>
    </xf>
    <xf numFmtId="0" fontId="7" fillId="0" borderId="7" xfId="5" applyFont="1" applyBorder="1" applyAlignment="1">
      <alignment horizontal="center"/>
    </xf>
    <xf numFmtId="0" fontId="1" fillId="0" borderId="2" xfId="5" applyFont="1" applyBorder="1" applyAlignment="1">
      <alignment horizontal="center"/>
    </xf>
    <xf numFmtId="0" fontId="1" fillId="0" borderId="3" xfId="5" applyFont="1" applyBorder="1" applyAlignment="1">
      <alignment horizontal="center"/>
    </xf>
    <xf numFmtId="0" fontId="92" fillId="0" borderId="1" xfId="5" applyFont="1" applyBorder="1" applyAlignment="1">
      <alignment horizontal="center"/>
    </xf>
    <xf numFmtId="0" fontId="92" fillId="0" borderId="2" xfId="5" applyFont="1" applyBorder="1" applyAlignment="1">
      <alignment horizontal="center"/>
    </xf>
    <xf numFmtId="0" fontId="92" fillId="0" borderId="3" xfId="5" applyFont="1" applyBorder="1" applyAlignment="1">
      <alignment horizontal="center"/>
    </xf>
    <xf numFmtId="0" fontId="59" fillId="0" borderId="1" xfId="5" applyFont="1" applyBorder="1" applyAlignment="1">
      <alignment horizontal="left" vertical="center"/>
    </xf>
    <xf numFmtId="0" fontId="27" fillId="0" borderId="2" xfId="5" applyFont="1" applyBorder="1"/>
    <xf numFmtId="0" fontId="27" fillId="0" borderId="3" xfId="5" applyFont="1" applyBorder="1"/>
    <xf numFmtId="0" fontId="27" fillId="0" borderId="9" xfId="5" applyFont="1" applyBorder="1"/>
    <xf numFmtId="0" fontId="27" fillId="0" borderId="10" xfId="5" applyFont="1" applyBorder="1"/>
    <xf numFmtId="0" fontId="27" fillId="0" borderId="11" xfId="5" applyFont="1" applyBorder="1"/>
    <xf numFmtId="0" fontId="7" fillId="0" borderId="1" xfId="5" applyFont="1" applyBorder="1" applyAlignment="1">
      <alignment horizontal="center" vertical="center"/>
    </xf>
    <xf numFmtId="0" fontId="7" fillId="0" borderId="2" xfId="5" applyFont="1" applyBorder="1" applyAlignment="1">
      <alignment horizontal="center" vertical="center"/>
    </xf>
    <xf numFmtId="0" fontId="59" fillId="0" borderId="2" xfId="5" applyFont="1" applyBorder="1" applyAlignment="1">
      <alignment horizontal="center" vertical="center"/>
    </xf>
    <xf numFmtId="0" fontId="59" fillId="0" borderId="3" xfId="5" applyFont="1" applyBorder="1" applyAlignment="1">
      <alignment horizontal="center" vertical="center"/>
    </xf>
    <xf numFmtId="0" fontId="59" fillId="0" borderId="6" xfId="5" applyFont="1" applyBorder="1" applyAlignment="1">
      <alignment horizontal="center" vertical="center"/>
    </xf>
    <xf numFmtId="0" fontId="59" fillId="0" borderId="0" xfId="5" applyFont="1" applyAlignment="1">
      <alignment horizontal="center" vertical="center"/>
    </xf>
    <xf numFmtId="0" fontId="59" fillId="0" borderId="7" xfId="5" applyFont="1" applyBorder="1" applyAlignment="1">
      <alignment horizontal="center" vertical="center"/>
    </xf>
    <xf numFmtId="0" fontId="59" fillId="0" borderId="9" xfId="5" applyFont="1" applyBorder="1" applyAlignment="1">
      <alignment horizontal="center" vertical="center"/>
    </xf>
    <xf numFmtId="0" fontId="59" fillId="0" borderId="10" xfId="5" applyFont="1" applyBorder="1" applyAlignment="1">
      <alignment horizontal="center" vertical="center"/>
    </xf>
    <xf numFmtId="0" fontId="59" fillId="0" borderId="11" xfId="5" applyFont="1" applyBorder="1" applyAlignment="1">
      <alignment horizontal="center" vertical="center"/>
    </xf>
    <xf numFmtId="0" fontId="7" fillId="0" borderId="1" xfId="5" applyFont="1" applyBorder="1" applyAlignment="1">
      <alignment horizontal="left" vertical="center"/>
    </xf>
    <xf numFmtId="0" fontId="1" fillId="0" borderId="1" xfId="5" applyFont="1" applyBorder="1" applyAlignment="1">
      <alignment horizontal="left" vertical="center"/>
    </xf>
    <xf numFmtId="0" fontId="10" fillId="0" borderId="2" xfId="5" applyBorder="1" applyAlignment="1">
      <alignment horizontal="left"/>
    </xf>
    <xf numFmtId="0" fontId="10" fillId="0" borderId="3" xfId="5" applyBorder="1" applyAlignment="1">
      <alignment horizontal="left"/>
    </xf>
    <xf numFmtId="0" fontId="10" fillId="0" borderId="9" xfId="5" applyBorder="1" applyAlignment="1">
      <alignment horizontal="left"/>
    </xf>
    <xf numFmtId="0" fontId="10" fillId="0" borderId="0" xfId="5" applyAlignment="1">
      <alignment horizontal="left"/>
    </xf>
    <xf numFmtId="0" fontId="10" fillId="0" borderId="11" xfId="5" applyBorder="1" applyAlignment="1">
      <alignment horizontal="left"/>
    </xf>
    <xf numFmtId="0" fontId="1" fillId="0" borderId="6" xfId="5" applyFont="1" applyBorder="1" applyAlignment="1">
      <alignment horizontal="center"/>
    </xf>
    <xf numFmtId="0" fontId="1" fillId="0" borderId="0" xfId="5" applyFont="1" applyAlignment="1">
      <alignment horizontal="center"/>
    </xf>
    <xf numFmtId="0" fontId="1" fillId="0" borderId="7" xfId="5" applyFont="1" applyBorder="1" applyAlignment="1">
      <alignment horizontal="center"/>
    </xf>
    <xf numFmtId="0" fontId="1" fillId="0" borderId="9" xfId="5" applyFont="1" applyBorder="1" applyAlignment="1">
      <alignment horizontal="center"/>
    </xf>
    <xf numFmtId="0" fontId="1" fillId="0" borderId="10" xfId="5" applyFont="1" applyBorder="1" applyAlignment="1">
      <alignment horizontal="center"/>
    </xf>
    <xf numFmtId="0" fontId="1" fillId="0" borderId="11" xfId="5" applyFont="1" applyBorder="1" applyAlignment="1">
      <alignment horizontal="center"/>
    </xf>
    <xf numFmtId="0" fontId="88" fillId="0" borderId="16" xfId="5" applyFont="1" applyBorder="1" applyAlignment="1">
      <alignment horizontal="center" vertical="center"/>
    </xf>
    <xf numFmtId="0" fontId="88" fillId="0" borderId="17" xfId="5" applyFont="1" applyBorder="1" applyAlignment="1">
      <alignment vertical="center"/>
    </xf>
    <xf numFmtId="0" fontId="88" fillId="0" borderId="1" xfId="5" applyFont="1" applyBorder="1" applyAlignment="1">
      <alignment horizontal="center" vertical="center"/>
    </xf>
    <xf numFmtId="0" fontId="88" fillId="0" borderId="9" xfId="5" applyFont="1" applyBorder="1" applyAlignment="1">
      <alignment vertical="center"/>
    </xf>
    <xf numFmtId="0" fontId="88" fillId="0" borderId="3" xfId="5" applyFont="1" applyBorder="1" applyAlignment="1">
      <alignment horizontal="center" vertical="center"/>
    </xf>
    <xf numFmtId="0" fontId="88" fillId="0" borderId="11" xfId="5" applyFont="1" applyBorder="1" applyAlignment="1">
      <alignment horizontal="center" vertical="center"/>
    </xf>
    <xf numFmtId="0" fontId="59" fillId="0" borderId="6" xfId="5" applyFont="1" applyBorder="1" applyAlignment="1">
      <alignment horizontal="center"/>
    </xf>
    <xf numFmtId="0" fontId="59" fillId="0" borderId="0" xfId="5" applyFont="1" applyAlignment="1">
      <alignment horizontal="center"/>
    </xf>
    <xf numFmtId="0" fontId="59" fillId="0" borderId="7" xfId="5" applyFont="1" applyBorder="1" applyAlignment="1">
      <alignment horizontal="center"/>
    </xf>
    <xf numFmtId="0" fontId="59" fillId="0" borderId="9" xfId="5" applyFont="1" applyBorder="1" applyAlignment="1">
      <alignment horizontal="center"/>
    </xf>
    <xf numFmtId="0" fontId="59" fillId="0" borderId="10" xfId="5" applyFont="1" applyBorder="1" applyAlignment="1">
      <alignment horizontal="center"/>
    </xf>
    <xf numFmtId="0" fontId="59" fillId="0" borderId="11" xfId="5" applyFont="1" applyBorder="1" applyAlignment="1">
      <alignment horizontal="center"/>
    </xf>
    <xf numFmtId="0" fontId="70" fillId="0" borderId="1" xfId="5" applyFont="1" applyBorder="1" applyAlignment="1">
      <alignment horizontal="center"/>
    </xf>
    <xf numFmtId="0" fontId="70" fillId="0" borderId="2" xfId="5" applyFont="1" applyBorder="1" applyAlignment="1">
      <alignment horizontal="center"/>
    </xf>
    <xf numFmtId="0" fontId="70" fillId="0" borderId="3" xfId="5" applyFont="1" applyBorder="1" applyAlignment="1">
      <alignment horizontal="center"/>
    </xf>
    <xf numFmtId="0" fontId="70" fillId="0" borderId="6" xfId="5" applyFont="1" applyBorder="1" applyAlignment="1">
      <alignment horizontal="center"/>
    </xf>
    <xf numFmtId="0" fontId="70" fillId="0" borderId="0" xfId="5" applyFont="1" applyAlignment="1">
      <alignment horizontal="center"/>
    </xf>
    <xf numFmtId="0" fontId="70" fillId="0" borderId="7" xfId="5" applyFont="1" applyBorder="1" applyAlignment="1">
      <alignment horizontal="center"/>
    </xf>
    <xf numFmtId="0" fontId="92" fillId="0" borderId="9" xfId="5" applyFont="1" applyBorder="1" applyAlignment="1">
      <alignment horizontal="center"/>
    </xf>
    <xf numFmtId="0" fontId="92" fillId="0" borderId="10" xfId="5" applyFont="1" applyBorder="1" applyAlignment="1">
      <alignment horizontal="center"/>
    </xf>
    <xf numFmtId="0" fontId="92" fillId="0" borderId="11" xfId="5" applyFont="1" applyBorder="1" applyAlignment="1">
      <alignment horizontal="center"/>
    </xf>
    <xf numFmtId="0" fontId="88" fillId="0" borderId="10" xfId="5" applyFont="1" applyBorder="1" applyAlignment="1">
      <alignment horizontal="center"/>
    </xf>
    <xf numFmtId="0" fontId="15" fillId="0" borderId="6" xfId="5" applyFont="1" applyBorder="1" applyAlignment="1">
      <alignment horizontal="center"/>
    </xf>
    <xf numFmtId="0" fontId="15" fillId="0" borderId="0" xfId="5" applyFont="1" applyAlignment="1">
      <alignment horizontal="center"/>
    </xf>
    <xf numFmtId="0" fontId="15" fillId="0" borderId="7" xfId="5" applyFont="1" applyBorder="1" applyAlignment="1">
      <alignment horizontal="center"/>
    </xf>
    <xf numFmtId="0" fontId="6" fillId="0" borderId="6" xfId="5" applyFont="1" applyBorder="1" applyAlignment="1">
      <alignment horizontal="center"/>
    </xf>
    <xf numFmtId="0" fontId="6" fillId="0" borderId="0" xfId="5" applyFont="1" applyAlignment="1">
      <alignment horizontal="center"/>
    </xf>
    <xf numFmtId="0" fontId="6" fillId="0" borderId="7" xfId="5" applyFont="1" applyBorder="1" applyAlignment="1">
      <alignment horizontal="center"/>
    </xf>
    <xf numFmtId="0" fontId="88" fillId="0" borderId="9" xfId="5" applyFont="1" applyBorder="1" applyAlignment="1">
      <alignment horizontal="center"/>
    </xf>
    <xf numFmtId="0" fontId="88" fillId="0" borderId="11" xfId="5" applyFont="1" applyBorder="1" applyAlignment="1">
      <alignment horizontal="center"/>
    </xf>
    <xf numFmtId="0" fontId="1" fillId="0" borderId="97" xfId="5" applyFont="1" applyBorder="1" applyAlignment="1">
      <alignment horizontal="center"/>
    </xf>
    <xf numFmtId="0" fontId="1" fillId="0" borderId="98" xfId="5" applyFont="1" applyBorder="1" applyAlignment="1">
      <alignment horizontal="center"/>
    </xf>
    <xf numFmtId="0" fontId="1" fillId="0" borderId="99" xfId="5" applyFont="1" applyBorder="1" applyAlignment="1">
      <alignment horizontal="center"/>
    </xf>
    <xf numFmtId="0" fontId="88" fillId="0" borderId="0" xfId="5" applyFont="1" applyAlignment="1">
      <alignment horizontal="center"/>
    </xf>
    <xf numFmtId="0" fontId="88" fillId="0" borderId="7" xfId="5" applyFont="1" applyBorder="1" applyAlignment="1">
      <alignment horizontal="center"/>
    </xf>
    <xf numFmtId="0" fontId="88" fillId="0" borderId="0" xfId="5" applyFont="1" applyAlignment="1">
      <alignment horizontal="center" vertical="center"/>
    </xf>
    <xf numFmtId="0" fontId="88" fillId="0" borderId="7" xfId="5" applyFont="1" applyBorder="1" applyAlignment="1">
      <alignment horizontal="center" vertical="center"/>
    </xf>
    <xf numFmtId="0" fontId="88" fillId="0" borderId="97" xfId="5" applyFont="1" applyBorder="1" applyAlignment="1">
      <alignment horizontal="center"/>
    </xf>
    <xf numFmtId="0" fontId="88" fillId="0" borderId="98" xfId="5" applyFont="1" applyBorder="1" applyAlignment="1">
      <alignment horizontal="center"/>
    </xf>
    <xf numFmtId="0" fontId="88" fillId="0" borderId="99" xfId="5" applyFont="1" applyBorder="1" applyAlignment="1">
      <alignment horizontal="center"/>
    </xf>
    <xf numFmtId="0" fontId="88" fillId="0" borderId="6" xfId="5" applyFont="1" applyBorder="1" applyAlignment="1">
      <alignment horizontal="left"/>
    </xf>
    <xf numFmtId="0" fontId="88" fillId="0" borderId="0" xfId="5" applyFont="1" applyAlignment="1">
      <alignment horizontal="left"/>
    </xf>
    <xf numFmtId="0" fontId="88" fillId="0" borderId="7" xfId="5" applyFont="1" applyBorder="1" applyAlignment="1">
      <alignment horizontal="left"/>
    </xf>
    <xf numFmtId="0" fontId="1" fillId="0" borderId="0" xfId="5" applyFont="1" applyAlignment="1">
      <alignment horizontal="left"/>
    </xf>
    <xf numFmtId="43" fontId="1" fillId="0" borderId="0" xfId="4" applyFont="1" applyFill="1" applyBorder="1" applyAlignment="1">
      <alignment horizontal="center"/>
    </xf>
    <xf numFmtId="0" fontId="70" fillId="0" borderId="0" xfId="5" applyFont="1" applyAlignment="1">
      <alignment horizontal="left"/>
    </xf>
    <xf numFmtId="43" fontId="1" fillId="0" borderId="0" xfId="4" applyFont="1" applyBorder="1" applyAlignment="1">
      <alignment horizontal="center"/>
    </xf>
    <xf numFmtId="43" fontId="1" fillId="0" borderId="7" xfId="4" applyFont="1" applyBorder="1" applyAlignment="1">
      <alignment horizontal="center"/>
    </xf>
    <xf numFmtId="0" fontId="1" fillId="0" borderId="0" xfId="5" applyFont="1"/>
    <xf numFmtId="43" fontId="88" fillId="0" borderId="0" xfId="4" applyFont="1" applyBorder="1" applyAlignment="1">
      <alignment horizontal="center"/>
    </xf>
    <xf numFmtId="0" fontId="4" fillId="0" borderId="6" xfId="5" applyFont="1" applyBorder="1" applyAlignment="1">
      <alignment horizontal="center"/>
    </xf>
    <xf numFmtId="0" fontId="4" fillId="0" borderId="0" xfId="5" applyFont="1" applyAlignment="1">
      <alignment horizontal="center"/>
    </xf>
    <xf numFmtId="0" fontId="4" fillId="0" borderId="7" xfId="5" applyFont="1" applyBorder="1" applyAlignment="1">
      <alignment horizontal="center"/>
    </xf>
    <xf numFmtId="0" fontId="88" fillId="0" borderId="6" xfId="5" applyFont="1" applyBorder="1" applyAlignment="1">
      <alignment horizontal="center"/>
    </xf>
    <xf numFmtId="0" fontId="1" fillId="0" borderId="7" xfId="5" applyFont="1" applyBorder="1"/>
    <xf numFmtId="0" fontId="1" fillId="0" borderId="7" xfId="5" applyFont="1" applyBorder="1" applyAlignment="1">
      <alignment horizontal="left"/>
    </xf>
    <xf numFmtId="0" fontId="1" fillId="0" borderId="56" xfId="5" applyFont="1" applyBorder="1" applyAlignment="1">
      <alignment horizontal="center"/>
    </xf>
    <xf numFmtId="0" fontId="1" fillId="0" borderId="57" xfId="5" applyFont="1" applyBorder="1" applyAlignment="1">
      <alignment horizontal="center"/>
    </xf>
    <xf numFmtId="0" fontId="1" fillId="0" borderId="60" xfId="5" applyFont="1" applyBorder="1" applyAlignment="1">
      <alignment horizontal="center"/>
    </xf>
    <xf numFmtId="0" fontId="88" fillId="0" borderId="58" xfId="5" applyFont="1" applyBorder="1" applyAlignment="1">
      <alignment horizontal="center"/>
    </xf>
    <xf numFmtId="0" fontId="6" fillId="0" borderId="58" xfId="5" applyFont="1" applyBorder="1" applyAlignment="1">
      <alignment horizontal="center"/>
    </xf>
    <xf numFmtId="0" fontId="7" fillId="0" borderId="58" xfId="5" applyFont="1" applyBorder="1" applyAlignment="1">
      <alignment horizontal="center"/>
    </xf>
    <xf numFmtId="0" fontId="1" fillId="0" borderId="63" xfId="5" applyFont="1" applyBorder="1" applyAlignment="1">
      <alignment horizontal="center"/>
    </xf>
    <xf numFmtId="0" fontId="88" fillId="0" borderId="26" xfId="5" applyFont="1" applyBorder="1" applyAlignment="1">
      <alignment horizontal="center"/>
    </xf>
    <xf numFmtId="0" fontId="88" fillId="0" borderId="65" xfId="5" applyFont="1" applyBorder="1" applyAlignment="1">
      <alignment horizontal="center"/>
    </xf>
    <xf numFmtId="0" fontId="4" fillId="0" borderId="58" xfId="5" applyFont="1" applyBorder="1" applyAlignment="1">
      <alignment horizontal="center"/>
    </xf>
    <xf numFmtId="0" fontId="1" fillId="0" borderId="58" xfId="5" applyFont="1" applyBorder="1" applyAlignment="1">
      <alignment horizontal="center"/>
    </xf>
    <xf numFmtId="49" fontId="90" fillId="0" borderId="66" xfId="0" applyNumberFormat="1" applyFont="1" applyBorder="1" applyAlignment="1">
      <alignment horizontal="center"/>
    </xf>
    <xf numFmtId="49" fontId="90" fillId="0" borderId="41" xfId="0" applyNumberFormat="1" applyFont="1" applyBorder="1" applyAlignment="1">
      <alignment horizontal="center"/>
    </xf>
    <xf numFmtId="49" fontId="16" fillId="0" borderId="41" xfId="0" applyNumberFormat="1" applyFont="1" applyBorder="1" applyAlignment="1">
      <alignment horizontal="center"/>
    </xf>
    <xf numFmtId="49" fontId="16" fillId="0" borderId="67" xfId="0" applyNumberFormat="1" applyFont="1" applyBorder="1" applyAlignment="1">
      <alignment horizontal="center"/>
    </xf>
    <xf numFmtId="49" fontId="90" fillId="0" borderId="67" xfId="0" applyNumberFormat="1" applyFont="1" applyBorder="1" applyAlignment="1">
      <alignment horizontal="center"/>
    </xf>
    <xf numFmtId="0" fontId="81" fillId="0" borderId="0" xfId="0" applyFont="1" applyAlignment="1">
      <alignment horizontal="center"/>
    </xf>
    <xf numFmtId="0" fontId="69" fillId="0" borderId="42" xfId="0" applyFont="1" applyBorder="1" applyAlignment="1">
      <alignment vertical="center" wrapText="1"/>
    </xf>
    <xf numFmtId="0" fontId="69" fillId="0" borderId="29" xfId="0" applyFont="1" applyBorder="1" applyAlignment="1">
      <alignment horizontal="left" vertical="center"/>
    </xf>
    <xf numFmtId="0" fontId="69" fillId="0" borderId="28" xfId="0" applyFont="1" applyBorder="1" applyAlignment="1">
      <alignment horizontal="left" vertical="center"/>
    </xf>
    <xf numFmtId="0" fontId="72" fillId="4" borderId="0" xfId="0" applyFont="1" applyFill="1" applyAlignment="1">
      <alignment horizontal="center" vertical="center"/>
    </xf>
    <xf numFmtId="0" fontId="72" fillId="5" borderId="0" xfId="0" applyFont="1" applyFill="1" applyAlignment="1">
      <alignment horizontal="center"/>
    </xf>
    <xf numFmtId="0" fontId="67" fillId="3" borderId="6" xfId="0" applyFont="1" applyFill="1" applyBorder="1" applyAlignment="1">
      <alignment horizontal="center"/>
    </xf>
    <xf numFmtId="0" fontId="67" fillId="3" borderId="7" xfId="0" applyFont="1" applyFill="1" applyBorder="1" applyAlignment="1">
      <alignment horizontal="center"/>
    </xf>
    <xf numFmtId="0" fontId="82" fillId="2" borderId="9" xfId="0" applyFont="1" applyFill="1" applyBorder="1" applyAlignment="1">
      <alignment horizontal="center"/>
    </xf>
    <xf numFmtId="0" fontId="82" fillId="2" borderId="10" xfId="0" applyFont="1" applyFill="1" applyBorder="1" applyAlignment="1">
      <alignment horizontal="center"/>
    </xf>
    <xf numFmtId="49" fontId="78" fillId="0" borderId="0" xfId="0" applyNumberFormat="1" applyFont="1" applyAlignment="1">
      <alignment horizontal="center"/>
    </xf>
    <xf numFmtId="49" fontId="78" fillId="0" borderId="6" xfId="0" applyNumberFormat="1" applyFont="1" applyBorder="1" applyAlignment="1">
      <alignment horizontal="center" vertical="center"/>
    </xf>
    <xf numFmtId="49" fontId="78" fillId="0" borderId="0" xfId="0" applyNumberFormat="1" applyFont="1" applyAlignment="1">
      <alignment horizontal="center" vertical="center"/>
    </xf>
    <xf numFmtId="49" fontId="85" fillId="0" borderId="0" xfId="0" applyNumberFormat="1" applyFont="1" applyAlignment="1">
      <alignment horizontal="center"/>
    </xf>
    <xf numFmtId="49" fontId="81" fillId="0" borderId="0" xfId="0" applyNumberFormat="1" applyFont="1" applyAlignment="1">
      <alignment horizontal="left"/>
    </xf>
    <xf numFmtId="49" fontId="67" fillId="0" borderId="10" xfId="0" applyNumberFormat="1" applyFont="1" applyBorder="1" applyAlignment="1">
      <alignment horizontal="left"/>
    </xf>
    <xf numFmtId="49" fontId="81" fillId="0" borderId="0" xfId="0" applyNumberFormat="1" applyFont="1" applyAlignment="1">
      <alignment horizontal="center"/>
    </xf>
    <xf numFmtId="49" fontId="81" fillId="0" borderId="6" xfId="0" applyNumberFormat="1" applyFont="1" applyBorder="1" applyAlignment="1">
      <alignment horizontal="center"/>
    </xf>
    <xf numFmtId="49" fontId="84" fillId="0" borderId="0" xfId="0" applyNumberFormat="1" applyFont="1" applyAlignment="1">
      <alignment horizontal="center"/>
    </xf>
    <xf numFmtId="0" fontId="69" fillId="0" borderId="27" xfId="0" applyFont="1" applyBorder="1" applyAlignment="1">
      <alignment horizontal="center" textRotation="180"/>
    </xf>
    <xf numFmtId="0" fontId="69" fillId="0" borderId="30" xfId="0" applyFont="1" applyBorder="1" applyAlignment="1">
      <alignment horizontal="center" textRotation="180"/>
    </xf>
    <xf numFmtId="0" fontId="69" fillId="0" borderId="31" xfId="0" applyFont="1" applyBorder="1" applyAlignment="1">
      <alignment horizontal="center" textRotation="180"/>
    </xf>
    <xf numFmtId="0" fontId="1" fillId="0" borderId="16" xfId="0" applyFont="1" applyBorder="1" applyAlignment="1">
      <alignment horizontal="center" wrapText="1"/>
    </xf>
    <xf numFmtId="0" fontId="1" fillId="0" borderId="17" xfId="0" applyFont="1" applyBorder="1" applyAlignment="1">
      <alignment horizontal="center" wrapText="1"/>
    </xf>
    <xf numFmtId="49" fontId="67" fillId="0" borderId="2" xfId="0" applyNumberFormat="1" applyFont="1" applyBorder="1" applyAlignment="1">
      <alignment horizontal="left" vertical="top" wrapText="1"/>
    </xf>
    <xf numFmtId="49" fontId="67" fillId="0" borderId="0" xfId="0" applyNumberFormat="1" applyFont="1" applyAlignment="1">
      <alignment horizontal="left" vertical="top" wrapText="1"/>
    </xf>
    <xf numFmtId="49" fontId="80" fillId="0" borderId="1" xfId="0" applyNumberFormat="1" applyFont="1" applyBorder="1" applyAlignment="1">
      <alignment vertical="top"/>
    </xf>
    <xf numFmtId="49" fontId="80" fillId="0" borderId="2" xfId="0" applyNumberFormat="1" applyFont="1" applyBorder="1" applyAlignment="1">
      <alignment vertical="top"/>
    </xf>
    <xf numFmtId="49" fontId="81" fillId="0" borderId="0" xfId="0" applyNumberFormat="1" applyFont="1" applyAlignment="1">
      <alignment horizontal="left" vertical="top" wrapText="1"/>
    </xf>
    <xf numFmtId="49" fontId="77" fillId="0" borderId="0" xfId="0" applyNumberFormat="1" applyFont="1" applyAlignment="1">
      <alignment horizontal="center"/>
    </xf>
    <xf numFmtId="49" fontId="69" fillId="0" borderId="0" xfId="0" applyNumberFormat="1" applyFont="1" applyAlignment="1">
      <alignment horizontal="center"/>
    </xf>
    <xf numFmtId="49" fontId="67" fillId="0" borderId="0" xfId="0" applyNumberFormat="1" applyFont="1" applyAlignment="1">
      <alignment horizontal="center"/>
    </xf>
    <xf numFmtId="0" fontId="71" fillId="0" borderId="10" xfId="0" applyFont="1" applyBorder="1" applyAlignment="1">
      <alignment horizontal="center"/>
    </xf>
    <xf numFmtId="0" fontId="99" fillId="0" borderId="16" xfId="0" applyFont="1" applyBorder="1" applyAlignment="1">
      <alignment horizontal="center"/>
    </xf>
    <xf numFmtId="0" fontId="99" fillId="0" borderId="17" xfId="0" applyFont="1" applyBorder="1" applyAlignment="1">
      <alignment horizontal="center"/>
    </xf>
    <xf numFmtId="0" fontId="98" fillId="0" borderId="0" xfId="0" applyFont="1" applyAlignment="1">
      <alignment horizontal="left"/>
    </xf>
    <xf numFmtId="0" fontId="99" fillId="0" borderId="0" xfId="0" applyFont="1" applyAlignment="1">
      <alignment horizontal="left"/>
    </xf>
    <xf numFmtId="0" fontId="96" fillId="0" borderId="0" xfId="0" applyFont="1" applyAlignment="1">
      <alignment horizontal="center"/>
    </xf>
    <xf numFmtId="0" fontId="97" fillId="0" borderId="0" xfId="0" applyFont="1" applyAlignment="1">
      <alignment horizontal="center"/>
    </xf>
    <xf numFmtId="0" fontId="100" fillId="0" borderId="0" xfId="0" applyFont="1" applyAlignment="1">
      <alignment horizontal="center"/>
    </xf>
    <xf numFmtId="0" fontId="99" fillId="0" borderId="19" xfId="0" applyFont="1" applyBorder="1" applyAlignment="1">
      <alignment horizontal="center"/>
    </xf>
    <xf numFmtId="0" fontId="99" fillId="0" borderId="18" xfId="0" applyFont="1" applyBorder="1" applyAlignment="1">
      <alignment horizontal="center"/>
    </xf>
    <xf numFmtId="0" fontId="11" fillId="0" borderId="19" xfId="0" applyFont="1" applyBorder="1" applyAlignment="1">
      <alignment horizontal="center"/>
    </xf>
    <xf numFmtId="0" fontId="11" fillId="0" borderId="18" xfId="0" applyFont="1" applyBorder="1" applyAlignment="1">
      <alignment horizontal="center"/>
    </xf>
    <xf numFmtId="0" fontId="96" fillId="0" borderId="0" xfId="0" applyFont="1" applyAlignment="1">
      <alignment horizontal="left"/>
    </xf>
    <xf numFmtId="0" fontId="94" fillId="0" borderId="0" xfId="0" applyFont="1" applyAlignment="1">
      <alignment horizontal="left"/>
    </xf>
    <xf numFmtId="0" fontId="32" fillId="0" borderId="16" xfId="0" applyFont="1" applyBorder="1" applyAlignment="1">
      <alignment horizontal="center" vertical="center"/>
    </xf>
    <xf numFmtId="0" fontId="32" fillId="0" borderId="17" xfId="0" applyFont="1" applyBorder="1" applyAlignment="1">
      <alignment horizontal="center" vertical="center"/>
    </xf>
    <xf numFmtId="0" fontId="32" fillId="0" borderId="16" xfId="0" applyFont="1" applyBorder="1" applyAlignment="1">
      <alignment horizontal="center"/>
    </xf>
    <xf numFmtId="0" fontId="32" fillId="0" borderId="17" xfId="0" applyFont="1" applyBorder="1" applyAlignment="1">
      <alignment horizontal="center"/>
    </xf>
    <xf numFmtId="0" fontId="97" fillId="0" borderId="0" xfId="0" applyFont="1" applyAlignment="1">
      <alignment horizontal="left"/>
    </xf>
    <xf numFmtId="0" fontId="100" fillId="0" borderId="0" xfId="0" applyFont="1" applyAlignment="1">
      <alignment horizontal="left"/>
    </xf>
    <xf numFmtId="0" fontId="100" fillId="0" borderId="0" xfId="0" applyFont="1"/>
    <xf numFmtId="0" fontId="18" fillId="0" borderId="0" xfId="0" applyFont="1" applyAlignment="1">
      <alignment horizontal="center"/>
    </xf>
    <xf numFmtId="0" fontId="108" fillId="0" borderId="0" xfId="0" applyFont="1" applyAlignment="1">
      <alignment horizontal="center"/>
    </xf>
    <xf numFmtId="0" fontId="26" fillId="0" borderId="0" xfId="0" applyFont="1" applyAlignment="1">
      <alignment horizontal="left"/>
    </xf>
    <xf numFmtId="0" fontId="27" fillId="0" borderId="0" xfId="0" applyFont="1" applyAlignment="1">
      <alignment horizontal="left"/>
    </xf>
    <xf numFmtId="0" fontId="19" fillId="0" borderId="0" xfId="0" applyFont="1" applyAlignment="1">
      <alignment horizontal="center"/>
    </xf>
    <xf numFmtId="0" fontId="109" fillId="0" borderId="0" xfId="0" applyFont="1" applyAlignment="1">
      <alignment horizontal="center"/>
    </xf>
    <xf numFmtId="166" fontId="116" fillId="2" borderId="0" xfId="3" applyNumberFormat="1" applyFont="1" applyFill="1" applyBorder="1" applyAlignment="1">
      <alignment horizontal="center"/>
    </xf>
    <xf numFmtId="0" fontId="113" fillId="2" borderId="0" xfId="0" applyFont="1" applyFill="1" applyAlignment="1">
      <alignment horizontal="center"/>
    </xf>
    <xf numFmtId="0" fontId="31" fillId="2" borderId="0" xfId="0" applyFont="1" applyFill="1" applyAlignment="1">
      <alignment horizontal="center"/>
    </xf>
    <xf numFmtId="0" fontId="112" fillId="2" borderId="0" xfId="0" applyFont="1" applyFill="1" applyAlignment="1">
      <alignment horizontal="center"/>
    </xf>
    <xf numFmtId="0" fontId="30" fillId="2" borderId="76" xfId="0" applyFont="1" applyFill="1" applyBorder="1" applyAlignment="1">
      <alignment horizontal="center"/>
    </xf>
    <xf numFmtId="0" fontId="30" fillId="2" borderId="77" xfId="0" applyFont="1" applyFill="1" applyBorder="1" applyAlignment="1">
      <alignment horizontal="center"/>
    </xf>
    <xf numFmtId="166" fontId="115" fillId="2" borderId="0" xfId="3" applyNumberFormat="1" applyFont="1" applyFill="1" applyBorder="1" applyAlignment="1">
      <alignment horizontal="center"/>
    </xf>
    <xf numFmtId="0" fontId="30" fillId="2" borderId="0" xfId="0" applyFont="1" applyFill="1" applyAlignment="1">
      <alignment horizontal="center"/>
    </xf>
    <xf numFmtId="0" fontId="112" fillId="2" borderId="78" xfId="0" applyFont="1" applyFill="1" applyBorder="1" applyAlignment="1">
      <alignment horizontal="center" vertical="center" wrapText="1"/>
    </xf>
    <xf numFmtId="0" fontId="31" fillId="2" borderId="83" xfId="0" applyFont="1" applyFill="1" applyBorder="1" applyAlignment="1">
      <alignment horizontal="center" vertical="center" wrapText="1"/>
    </xf>
    <xf numFmtId="0" fontId="112" fillId="2" borderId="80" xfId="0" applyFont="1" applyFill="1" applyBorder="1" applyAlignment="1">
      <alignment horizontal="center" vertical="center" wrapText="1"/>
    </xf>
    <xf numFmtId="0" fontId="31" fillId="2" borderId="84" xfId="0" applyFont="1" applyFill="1" applyBorder="1" applyAlignment="1">
      <alignment horizontal="center" vertical="center" wrapText="1"/>
    </xf>
    <xf numFmtId="0" fontId="32" fillId="2" borderId="84" xfId="0" applyFont="1" applyFill="1" applyBorder="1" applyAlignment="1">
      <alignment horizontal="center" vertical="center" wrapText="1"/>
    </xf>
    <xf numFmtId="0" fontId="31" fillId="2" borderId="85" xfId="0" applyFont="1" applyFill="1" applyBorder="1" applyAlignment="1">
      <alignment horizontal="center" vertical="center" wrapText="1"/>
    </xf>
    <xf numFmtId="0" fontId="30" fillId="2" borderId="81" xfId="0" applyFont="1" applyFill="1" applyBorder="1" applyAlignment="1">
      <alignment horizontal="center" vertical="center" wrapText="1"/>
    </xf>
    <xf numFmtId="0" fontId="30" fillId="2" borderId="85" xfId="0" applyFont="1" applyFill="1" applyBorder="1" applyAlignment="1">
      <alignment horizontal="center" vertical="center" wrapText="1"/>
    </xf>
    <xf numFmtId="0" fontId="24" fillId="2" borderId="85" xfId="0" applyFont="1" applyFill="1" applyBorder="1" applyAlignment="1">
      <alignment horizontal="center" vertical="center" wrapText="1"/>
    </xf>
    <xf numFmtId="0" fontId="31" fillId="2" borderId="81" xfId="0" applyFont="1" applyFill="1" applyBorder="1" applyAlignment="1">
      <alignment horizontal="center" vertical="center" wrapText="1"/>
    </xf>
    <xf numFmtId="0" fontId="32" fillId="2" borderId="85" xfId="0" applyFont="1" applyFill="1" applyBorder="1" applyAlignment="1">
      <alignment horizontal="center" vertical="center" wrapText="1"/>
    </xf>
    <xf numFmtId="0" fontId="100" fillId="2" borderId="0" xfId="0" applyFont="1" applyFill="1" applyAlignment="1">
      <alignment horizontal="left"/>
    </xf>
    <xf numFmtId="2" fontId="34" fillId="2" borderId="0" xfId="0" applyNumberFormat="1" applyFont="1" applyFill="1" applyAlignment="1">
      <alignment horizontal="left"/>
    </xf>
    <xf numFmtId="0" fontId="113" fillId="2" borderId="91" xfId="0" applyFont="1" applyFill="1" applyBorder="1" applyAlignment="1">
      <alignment horizontal="center"/>
    </xf>
    <xf numFmtId="0" fontId="113" fillId="2" borderId="85" xfId="0" applyFont="1" applyFill="1" applyBorder="1" applyAlignment="1">
      <alignment horizontal="center"/>
    </xf>
    <xf numFmtId="0" fontId="31" fillId="2" borderId="107" xfId="0" applyFont="1" applyFill="1" applyBorder="1" applyAlignment="1">
      <alignment horizontal="center"/>
    </xf>
    <xf numFmtId="0" fontId="112" fillId="2" borderId="86" xfId="0" applyFont="1" applyFill="1" applyBorder="1" applyAlignment="1">
      <alignment horizontal="center" vertical="center" wrapText="1"/>
    </xf>
    <xf numFmtId="0" fontId="31" fillId="2" borderId="14" xfId="0" applyFont="1" applyFill="1" applyBorder="1" applyAlignment="1">
      <alignment horizontal="center" vertical="center" wrapText="1"/>
    </xf>
    <xf numFmtId="0" fontId="31" fillId="2" borderId="74" xfId="0" applyFont="1" applyFill="1" applyBorder="1" applyAlignment="1">
      <alignment horizontal="center" vertical="center" wrapText="1"/>
    </xf>
    <xf numFmtId="0" fontId="112" fillId="2" borderId="79" xfId="0" applyFont="1" applyFill="1" applyBorder="1" applyAlignment="1">
      <alignment horizontal="center" vertical="center" wrapText="1"/>
    </xf>
    <xf numFmtId="0" fontId="15" fillId="2" borderId="0" xfId="0" applyFont="1" applyFill="1" applyAlignment="1">
      <alignment horizontal="center"/>
    </xf>
    <xf numFmtId="0" fontId="11" fillId="2" borderId="0" xfId="0" applyFont="1" applyFill="1" applyAlignment="1">
      <alignment horizontal="center"/>
    </xf>
    <xf numFmtId="0" fontId="29" fillId="2" borderId="26" xfId="0" applyFont="1" applyFill="1" applyBorder="1" applyAlignment="1">
      <alignment horizontal="center"/>
    </xf>
    <xf numFmtId="0" fontId="112" fillId="2" borderId="88" xfId="0" applyFont="1" applyFill="1" applyBorder="1" applyAlignment="1">
      <alignment horizontal="center" vertical="center" wrapText="1"/>
    </xf>
    <xf numFmtId="0" fontId="31" fillId="2" borderId="89" xfId="0" applyFont="1" applyFill="1" applyBorder="1" applyAlignment="1">
      <alignment horizontal="center" vertical="center" wrapText="1"/>
    </xf>
    <xf numFmtId="0" fontId="29" fillId="2" borderId="0" xfId="0" applyFont="1" applyFill="1" applyAlignment="1">
      <alignment horizontal="center"/>
    </xf>
    <xf numFmtId="0" fontId="33" fillId="2" borderId="0" xfId="0" applyFont="1" applyFill="1" applyAlignment="1">
      <alignment horizontal="center" vertical="center" wrapText="1"/>
    </xf>
    <xf numFmtId="0" fontId="11" fillId="2" borderId="0" xfId="0" applyFont="1" applyFill="1" applyAlignment="1">
      <alignment horizontal="center" vertical="center" wrapText="1"/>
    </xf>
    <xf numFmtId="0" fontId="41" fillId="2" borderId="0" xfId="0" applyFont="1" applyFill="1" applyAlignment="1">
      <alignment horizontal="center" vertical="center" wrapText="1"/>
    </xf>
    <xf numFmtId="0" fontId="42" fillId="2" borderId="0" xfId="0" applyFont="1" applyFill="1" applyAlignment="1">
      <alignment horizontal="center" vertical="center" wrapText="1"/>
    </xf>
    <xf numFmtId="0" fontId="43" fillId="2" borderId="0" xfId="0" applyFont="1" applyFill="1" applyAlignment="1">
      <alignment horizontal="center" vertical="center" wrapText="1"/>
    </xf>
    <xf numFmtId="0" fontId="44" fillId="2" borderId="0" xfId="0" applyFont="1" applyFill="1" applyAlignment="1">
      <alignment horizontal="center" vertical="center" wrapText="1"/>
    </xf>
    <xf numFmtId="0" fontId="33" fillId="2" borderId="0" xfId="0" applyFont="1" applyFill="1" applyAlignment="1">
      <alignment horizontal="center"/>
    </xf>
    <xf numFmtId="0" fontId="41" fillId="2" borderId="0" xfId="0" applyFont="1" applyFill="1" applyAlignment="1">
      <alignment horizontal="center"/>
    </xf>
    <xf numFmtId="0" fontId="40" fillId="2" borderId="0" xfId="0" applyFont="1" applyFill="1" applyAlignment="1">
      <alignment horizontal="center"/>
    </xf>
    <xf numFmtId="0" fontId="0" fillId="0" borderId="0" xfId="0" applyAlignment="1">
      <alignment horizontal="center"/>
    </xf>
    <xf numFmtId="0" fontId="1" fillId="0" borderId="14"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0" xfId="0" applyFont="1" applyAlignment="1">
      <alignment horizontal="center" vertical="center" wrapText="1"/>
    </xf>
    <xf numFmtId="0" fontId="8" fillId="0" borderId="19" xfId="0" applyFont="1" applyBorder="1" applyAlignment="1">
      <alignment horizontal="center"/>
    </xf>
    <xf numFmtId="0" fontId="0" fillId="0" borderId="18" xfId="0"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14" fillId="0" borderId="0" xfId="0" applyFont="1" applyAlignment="1">
      <alignment horizontal="center"/>
    </xf>
    <xf numFmtId="0" fontId="0" fillId="0" borderId="19" xfId="0"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18" xfId="0" applyFont="1"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59" fillId="0" borderId="93" xfId="0" applyFont="1" applyBorder="1" applyAlignment="1">
      <alignment horizontal="center"/>
    </xf>
    <xf numFmtId="0" fontId="59" fillId="0" borderId="94" xfId="0" applyFont="1" applyBorder="1" applyAlignment="1">
      <alignment horizontal="center"/>
    </xf>
    <xf numFmtId="0" fontId="59" fillId="0" borderId="10" xfId="0" applyFont="1" applyBorder="1" applyAlignment="1">
      <alignment horizontal="center"/>
    </xf>
    <xf numFmtId="0" fontId="59" fillId="0" borderId="11" xfId="0" applyFont="1" applyBorder="1" applyAlignment="1">
      <alignment horizontal="center"/>
    </xf>
    <xf numFmtId="0" fontId="104" fillId="0" borderId="16" xfId="0" applyFont="1" applyBorder="1" applyAlignment="1">
      <alignment horizontal="center"/>
    </xf>
    <xf numFmtId="0" fontId="104" fillId="0" borderId="17" xfId="0" applyFont="1" applyBorder="1" applyAlignment="1">
      <alignment horizontal="center"/>
    </xf>
    <xf numFmtId="0" fontId="104" fillId="0" borderId="2" xfId="0" applyFont="1" applyBorder="1" applyAlignment="1">
      <alignment horizontal="center"/>
    </xf>
    <xf numFmtId="0" fontId="104" fillId="0" borderId="3" xfId="0" applyFont="1" applyBorder="1" applyAlignment="1">
      <alignment horizontal="center"/>
    </xf>
    <xf numFmtId="0" fontId="104" fillId="0" borderId="10" xfId="0" applyFont="1" applyBorder="1" applyAlignment="1">
      <alignment horizontal="center"/>
    </xf>
    <xf numFmtId="0" fontId="104" fillId="0" borderId="11"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7" fillId="0" borderId="15" xfId="0" applyFont="1" applyBorder="1" applyAlignment="1">
      <alignment horizontal="center"/>
    </xf>
    <xf numFmtId="0" fontId="59" fillId="0" borderId="86" xfId="0" applyFont="1" applyBorder="1" applyAlignment="1">
      <alignment horizontal="center"/>
    </xf>
    <xf numFmtId="0" fontId="59" fillId="0" borderId="17" xfId="0" applyFont="1" applyBorder="1" applyAlignment="1">
      <alignment horizontal="center"/>
    </xf>
  </cellXfs>
  <cellStyles count="6">
    <cellStyle name="Comma" xfId="1" builtinId="3"/>
    <cellStyle name="Comma [0]" xfId="3" builtinId="6"/>
    <cellStyle name="Comma 2" xfId="4" xr:uid="{00000000-0005-0000-0000-000002000000}"/>
    <cellStyle name="Currency" xfId="2" builtinId="4"/>
    <cellStyle name="Normal" xfId="0" builtinId="0"/>
    <cellStyle name="Normal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238125</xdr:colOff>
      <xdr:row>50</xdr:row>
      <xdr:rowOff>152400</xdr:rowOff>
    </xdr:from>
    <xdr:to>
      <xdr:col>2</xdr:col>
      <xdr:colOff>571500</xdr:colOff>
      <xdr:row>50</xdr:row>
      <xdr:rowOff>152400</xdr:rowOff>
    </xdr:to>
    <xdr:sp macro="" textlink="">
      <xdr:nvSpPr>
        <xdr:cNvPr id="4" name="Line 5">
          <a:extLst>
            <a:ext uri="{FF2B5EF4-FFF2-40B4-BE49-F238E27FC236}">
              <a16:creationId xmlns:a16="http://schemas.microsoft.com/office/drawing/2014/main" id="{00000000-0008-0000-0200-000004000000}"/>
            </a:ext>
          </a:extLst>
        </xdr:cNvPr>
        <xdr:cNvSpPr>
          <a:spLocks noChangeShapeType="1"/>
        </xdr:cNvSpPr>
      </xdr:nvSpPr>
      <xdr:spPr>
        <a:xfrm>
          <a:off x="523875" y="15859125"/>
          <a:ext cx="1609725" cy="0"/>
        </a:xfrm>
        <a:prstGeom prst="line">
          <a:avLst/>
        </a:prstGeom>
        <a:noFill/>
        <a:ln w="9525">
          <a:solidFill>
            <a:srgbClr val="000000"/>
          </a:solidFill>
          <a:prstDash val="sysDot"/>
          <a:rou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428625</xdr:colOff>
      <xdr:row>1</xdr:row>
      <xdr:rowOff>9525</xdr:rowOff>
    </xdr:from>
    <xdr:to>
      <xdr:col>13</xdr:col>
      <xdr:colOff>628650</xdr:colOff>
      <xdr:row>11</xdr:row>
      <xdr:rowOff>43180</xdr:rowOff>
    </xdr:to>
    <xdr:pic>
      <xdr:nvPicPr>
        <xdr:cNvPr id="4" name="Picture 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66925" y="171450"/>
          <a:ext cx="6229350" cy="1729105"/>
        </a:xfrm>
        <a:prstGeom prst="rect">
          <a:avLst/>
        </a:prstGeom>
        <a:noFill/>
        <a:ln>
          <a:noFill/>
        </a:ln>
      </xdr:spPr>
    </xdr:pic>
    <xdr:clientData/>
  </xdr:twoCellAnchor>
  <xdr:twoCellAnchor editAs="oneCell">
    <xdr:from>
      <xdr:col>3</xdr:col>
      <xdr:colOff>266700</xdr:colOff>
      <xdr:row>46</xdr:row>
      <xdr:rowOff>333375</xdr:rowOff>
    </xdr:from>
    <xdr:to>
      <xdr:col>13</xdr:col>
      <xdr:colOff>466725</xdr:colOff>
      <xdr:row>57</xdr:row>
      <xdr:rowOff>24130</xdr:rowOff>
    </xdr:to>
    <xdr:pic>
      <xdr:nvPicPr>
        <xdr:cNvPr id="7" name="Picture 6">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0" y="8058150"/>
          <a:ext cx="6229350" cy="172910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571499</xdr:colOff>
      <xdr:row>0</xdr:row>
      <xdr:rowOff>47625</xdr:rowOff>
    </xdr:from>
    <xdr:to>
      <xdr:col>9</xdr:col>
      <xdr:colOff>742949</xdr:colOff>
      <xdr:row>9</xdr:row>
      <xdr:rowOff>147955</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499" y="47625"/>
          <a:ext cx="6105525" cy="1633855"/>
        </a:xfrm>
        <a:prstGeom prst="rect">
          <a:avLst/>
        </a:prstGeom>
        <a:noFill/>
        <a:ln>
          <a:noFill/>
        </a:ln>
      </xdr:spPr>
    </xdr:pic>
    <xdr:clientData/>
  </xdr:twoCellAnchor>
  <xdr:twoCellAnchor editAs="oneCell">
    <xdr:from>
      <xdr:col>3</xdr:col>
      <xdr:colOff>457200</xdr:colOff>
      <xdr:row>36</xdr:row>
      <xdr:rowOff>66675</xdr:rowOff>
    </xdr:from>
    <xdr:to>
      <xdr:col>11</xdr:col>
      <xdr:colOff>28575</xdr:colOff>
      <xdr:row>45</xdr:row>
      <xdr:rowOff>138430</xdr:rowOff>
    </xdr:to>
    <xdr:pic>
      <xdr:nvPicPr>
        <xdr:cNvPr id="4" name="Picture 3">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28900" y="6686550"/>
          <a:ext cx="6105525" cy="163385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154778</xdr:colOff>
      <xdr:row>0</xdr:row>
      <xdr:rowOff>142876</xdr:rowOff>
    </xdr:from>
    <xdr:to>
      <xdr:col>7</xdr:col>
      <xdr:colOff>604834</xdr:colOff>
      <xdr:row>9</xdr:row>
      <xdr:rowOff>133668</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778" y="142876"/>
          <a:ext cx="6105525" cy="163385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190499</xdr:colOff>
      <xdr:row>1</xdr:row>
      <xdr:rowOff>57150</xdr:rowOff>
    </xdr:from>
    <xdr:to>
      <xdr:col>6</xdr:col>
      <xdr:colOff>914399</xdr:colOff>
      <xdr:row>9</xdr:row>
      <xdr:rowOff>43180</xdr:rowOff>
    </xdr:to>
    <xdr:pic>
      <xdr:nvPicPr>
        <xdr:cNvPr id="3" name="Picture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9" y="219075"/>
          <a:ext cx="5324475" cy="142430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8</xdr:col>
      <xdr:colOff>228600</xdr:colOff>
      <xdr:row>9</xdr:row>
      <xdr:rowOff>109855</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180975"/>
          <a:ext cx="5638800" cy="155765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247650</xdr:colOff>
      <xdr:row>1</xdr:row>
      <xdr:rowOff>9525</xdr:rowOff>
    </xdr:from>
    <xdr:to>
      <xdr:col>8</xdr:col>
      <xdr:colOff>171450</xdr:colOff>
      <xdr:row>9</xdr:row>
      <xdr:rowOff>100330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171450"/>
          <a:ext cx="5638800" cy="155765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302944</xdr:colOff>
      <xdr:row>0</xdr:row>
      <xdr:rowOff>0</xdr:rowOff>
    </xdr:from>
    <xdr:to>
      <xdr:col>12</xdr:col>
      <xdr:colOff>820734</xdr:colOff>
      <xdr:row>8</xdr:row>
      <xdr:rowOff>75988</xdr:rowOff>
    </xdr:to>
    <xdr:pic>
      <xdr:nvPicPr>
        <xdr:cNvPr id="4" name="Picture 3">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9757" y="0"/>
          <a:ext cx="5649383" cy="1588082"/>
        </a:xfrm>
        <a:prstGeom prst="rect">
          <a:avLst/>
        </a:prstGeom>
        <a:noFill/>
        <a:ln>
          <a:noFill/>
        </a:ln>
      </xdr:spPr>
    </xdr:pic>
    <xdr:clientData/>
  </xdr:twoCellAnchor>
  <xdr:twoCellAnchor editAs="oneCell">
    <xdr:from>
      <xdr:col>7</xdr:col>
      <xdr:colOff>416719</xdr:colOff>
      <xdr:row>64</xdr:row>
      <xdr:rowOff>129646</xdr:rowOff>
    </xdr:from>
    <xdr:to>
      <xdr:col>13</xdr:col>
      <xdr:colOff>871009</xdr:colOff>
      <xdr:row>73</xdr:row>
      <xdr:rowOff>25717</xdr:rowOff>
    </xdr:to>
    <xdr:pic>
      <xdr:nvPicPr>
        <xdr:cNvPr id="5" name="Picture 4">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7438" y="12452615"/>
          <a:ext cx="5645415" cy="15510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110</xdr:row>
      <xdr:rowOff>0</xdr:rowOff>
    </xdr:from>
    <xdr:to>
      <xdr:col>2</xdr:col>
      <xdr:colOff>381000</xdr:colOff>
      <xdr:row>111</xdr:row>
      <xdr:rowOff>95250</xdr:rowOff>
    </xdr:to>
    <xdr:sp macro="" textlink="">
      <xdr:nvSpPr>
        <xdr:cNvPr id="91" name="Rectangle 228">
          <a:extLst>
            <a:ext uri="{FF2B5EF4-FFF2-40B4-BE49-F238E27FC236}">
              <a16:creationId xmlns:a16="http://schemas.microsoft.com/office/drawing/2014/main" id="{00000000-0008-0000-0B00-00005B000000}"/>
            </a:ext>
          </a:extLst>
        </xdr:cNvPr>
        <xdr:cNvSpPr>
          <a:spLocks noChangeArrowheads="1"/>
        </xdr:cNvSpPr>
      </xdr:nvSpPr>
      <xdr:spPr>
        <a:xfrm>
          <a:off x="0" y="14154150"/>
          <a:ext cx="15621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APPLICABLE PERIOD</a:t>
          </a:r>
        </a:p>
      </xdr:txBody>
    </xdr:sp>
    <xdr:clientData/>
  </xdr:twoCellAnchor>
  <xdr:twoCellAnchor>
    <xdr:from>
      <xdr:col>2</xdr:col>
      <xdr:colOff>371475</xdr:colOff>
      <xdr:row>110</xdr:row>
      <xdr:rowOff>0</xdr:rowOff>
    </xdr:from>
    <xdr:to>
      <xdr:col>2</xdr:col>
      <xdr:colOff>1009650</xdr:colOff>
      <xdr:row>111</xdr:row>
      <xdr:rowOff>95250</xdr:rowOff>
    </xdr:to>
    <xdr:sp macro="" textlink="">
      <xdr:nvSpPr>
        <xdr:cNvPr id="92" name="Rectangle 229">
          <a:extLst>
            <a:ext uri="{FF2B5EF4-FFF2-40B4-BE49-F238E27FC236}">
              <a16:creationId xmlns:a16="http://schemas.microsoft.com/office/drawing/2014/main" id="{00000000-0008-0000-0B00-00005C000000}"/>
            </a:ext>
          </a:extLst>
        </xdr:cNvPr>
        <xdr:cNvSpPr>
          <a:spLocks noChangeArrowheads="1"/>
        </xdr:cNvSpPr>
      </xdr:nvSpPr>
      <xdr:spPr>
        <a:xfrm>
          <a:off x="1552575" y="14154150"/>
          <a:ext cx="52387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REMITTED</a:t>
          </a:r>
        </a:p>
        <a:p>
          <a:pPr algn="ctr" rtl="1">
            <a:defRPr sz="1000"/>
          </a:pPr>
          <a:r>
            <a:rPr lang="en-US" sz="500" b="0" i="0" strike="noStrike">
              <a:solidFill>
                <a:srgbClr val="000000"/>
              </a:solidFill>
              <a:latin typeface="Arial Narrow" panose="020B0606020202030204"/>
            </a:rPr>
            <a:t>AMOUNT</a:t>
          </a:r>
        </a:p>
      </xdr:txBody>
    </xdr:sp>
    <xdr:clientData/>
  </xdr:twoCellAnchor>
  <xdr:twoCellAnchor>
    <xdr:from>
      <xdr:col>3</xdr:col>
      <xdr:colOff>914400</xdr:colOff>
      <xdr:row>110</xdr:row>
      <xdr:rowOff>0</xdr:rowOff>
    </xdr:from>
    <xdr:to>
      <xdr:col>5</xdr:col>
      <xdr:colOff>447675</xdr:colOff>
      <xdr:row>111</xdr:row>
      <xdr:rowOff>95250</xdr:rowOff>
    </xdr:to>
    <xdr:sp macro="" textlink="">
      <xdr:nvSpPr>
        <xdr:cNvPr id="93" name="Rectangle 230">
          <a:extLst>
            <a:ext uri="{FF2B5EF4-FFF2-40B4-BE49-F238E27FC236}">
              <a16:creationId xmlns:a16="http://schemas.microsoft.com/office/drawing/2014/main" id="{00000000-0008-0000-0B00-00005D000000}"/>
            </a:ext>
          </a:extLst>
        </xdr:cNvPr>
        <xdr:cNvSpPr>
          <a:spLocks noChangeArrowheads="1"/>
        </xdr:cNvSpPr>
      </xdr:nvSpPr>
      <xdr:spPr>
        <a:xfrm>
          <a:off x="2990850" y="14154150"/>
          <a:ext cx="66675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TRANSACTION</a:t>
          </a:r>
        </a:p>
        <a:p>
          <a:pPr algn="ctr" rtl="1">
            <a:defRPr sz="1000"/>
          </a:pPr>
          <a:r>
            <a:rPr lang="en-US" sz="500" b="0" i="0" strike="noStrike">
              <a:solidFill>
                <a:srgbClr val="000000"/>
              </a:solidFill>
              <a:latin typeface="Arial Narrow" panose="020B0606020202030204"/>
            </a:rPr>
            <a:t>DATE</a:t>
          </a:r>
        </a:p>
      </xdr:txBody>
    </xdr:sp>
    <xdr:clientData/>
  </xdr:twoCellAnchor>
  <xdr:twoCellAnchor>
    <xdr:from>
      <xdr:col>5</xdr:col>
      <xdr:colOff>419100</xdr:colOff>
      <xdr:row>110</xdr:row>
      <xdr:rowOff>0</xdr:rowOff>
    </xdr:from>
    <xdr:to>
      <xdr:col>6</xdr:col>
      <xdr:colOff>0</xdr:colOff>
      <xdr:row>111</xdr:row>
      <xdr:rowOff>95250</xdr:rowOff>
    </xdr:to>
    <xdr:sp macro="" textlink="">
      <xdr:nvSpPr>
        <xdr:cNvPr id="94" name="Rectangle 231">
          <a:extLst>
            <a:ext uri="{FF2B5EF4-FFF2-40B4-BE49-F238E27FC236}">
              <a16:creationId xmlns:a16="http://schemas.microsoft.com/office/drawing/2014/main" id="{00000000-0008-0000-0B00-00005E000000}"/>
            </a:ext>
          </a:extLst>
        </xdr:cNvPr>
        <xdr:cNvSpPr>
          <a:spLocks noChangeArrowheads="1"/>
        </xdr:cNvSpPr>
      </xdr:nvSpPr>
      <xdr:spPr>
        <a:xfrm>
          <a:off x="3629025" y="14154150"/>
          <a:ext cx="27622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NO. OF</a:t>
          </a:r>
        </a:p>
        <a:p>
          <a:pPr algn="ctr" rtl="1">
            <a:defRPr sz="1000"/>
          </a:pPr>
          <a:r>
            <a:rPr lang="en-US" sz="500" b="0" i="0" strike="noStrike">
              <a:solidFill>
                <a:srgbClr val="000000"/>
              </a:solidFill>
              <a:latin typeface="Arial Narrow" panose="020B0606020202030204"/>
            </a:rPr>
            <a:t>EMPLOUYEES</a:t>
          </a:r>
        </a:p>
      </xdr:txBody>
    </xdr:sp>
    <xdr:clientData/>
  </xdr:twoCellAnchor>
  <xdr:twoCellAnchor>
    <xdr:from>
      <xdr:col>2</xdr:col>
      <xdr:colOff>1000125</xdr:colOff>
      <xdr:row>110</xdr:row>
      <xdr:rowOff>0</xdr:rowOff>
    </xdr:from>
    <xdr:to>
      <xdr:col>3</xdr:col>
      <xdr:colOff>914400</xdr:colOff>
      <xdr:row>111</xdr:row>
      <xdr:rowOff>95250</xdr:rowOff>
    </xdr:to>
    <xdr:sp macro="" textlink="">
      <xdr:nvSpPr>
        <xdr:cNvPr id="95" name="Rectangle 232">
          <a:extLst>
            <a:ext uri="{FF2B5EF4-FFF2-40B4-BE49-F238E27FC236}">
              <a16:creationId xmlns:a16="http://schemas.microsoft.com/office/drawing/2014/main" id="{00000000-0008-0000-0B00-00005F000000}"/>
            </a:ext>
          </a:extLst>
        </xdr:cNvPr>
        <xdr:cNvSpPr>
          <a:spLocks noChangeArrowheads="1"/>
        </xdr:cNvSpPr>
      </xdr:nvSpPr>
      <xdr:spPr>
        <a:xfrm>
          <a:off x="2076450" y="14154150"/>
          <a:ext cx="9144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ACKNOWLEDGEMENT</a:t>
          </a:r>
        </a:p>
        <a:p>
          <a:pPr algn="ctr" rtl="1">
            <a:defRPr sz="1000"/>
          </a:pPr>
          <a:r>
            <a:rPr lang="en-US" sz="500" b="0" i="0" strike="noStrike">
              <a:solidFill>
                <a:srgbClr val="000000"/>
              </a:solidFill>
              <a:latin typeface="Arial Narrow" panose="020B0606020202030204"/>
            </a:rPr>
            <a:t>RECEIPT NO.</a:t>
          </a:r>
        </a:p>
      </xdr:txBody>
    </xdr:sp>
    <xdr:clientData/>
  </xdr:twoCellAnchor>
  <xdr:twoCellAnchor>
    <xdr:from>
      <xdr:col>0</xdr:col>
      <xdr:colOff>0</xdr:colOff>
      <xdr:row>111</xdr:row>
      <xdr:rowOff>95250</xdr:rowOff>
    </xdr:from>
    <xdr:to>
      <xdr:col>2</xdr:col>
      <xdr:colOff>381000</xdr:colOff>
      <xdr:row>114</xdr:row>
      <xdr:rowOff>0</xdr:rowOff>
    </xdr:to>
    <xdr:sp macro="" textlink="">
      <xdr:nvSpPr>
        <xdr:cNvPr id="96" name="Rectangle 233">
          <a:extLst>
            <a:ext uri="{FF2B5EF4-FFF2-40B4-BE49-F238E27FC236}">
              <a16:creationId xmlns:a16="http://schemas.microsoft.com/office/drawing/2014/main" id="{00000000-0008-0000-0B00-000060000000}"/>
            </a:ext>
          </a:extLst>
        </xdr:cNvPr>
        <xdr:cNvSpPr>
          <a:spLocks noChangeArrowheads="1"/>
        </xdr:cNvSpPr>
      </xdr:nvSpPr>
      <xdr:spPr>
        <a:xfrm>
          <a:off x="0" y="14411325"/>
          <a:ext cx="1562100" cy="390525"/>
        </a:xfrm>
        <a:prstGeom prst="rect">
          <a:avLst/>
        </a:prstGeom>
        <a:solidFill>
          <a:srgbClr val="FFFFFF"/>
        </a:solidFill>
        <a:ln w="9525">
          <a:solidFill>
            <a:srgbClr val="000000"/>
          </a:solidFill>
          <a:miter lim="800000"/>
        </a:ln>
      </xdr:spPr>
    </xdr:sp>
    <xdr:clientData/>
  </xdr:twoCellAnchor>
  <xdr:twoCellAnchor>
    <xdr:from>
      <xdr:col>2</xdr:col>
      <xdr:colOff>371475</xdr:colOff>
      <xdr:row>111</xdr:row>
      <xdr:rowOff>95250</xdr:rowOff>
    </xdr:from>
    <xdr:to>
      <xdr:col>2</xdr:col>
      <xdr:colOff>1009650</xdr:colOff>
      <xdr:row>114</xdr:row>
      <xdr:rowOff>0</xdr:rowOff>
    </xdr:to>
    <xdr:sp macro="" textlink="">
      <xdr:nvSpPr>
        <xdr:cNvPr id="97" name="Rectangle 234">
          <a:extLst>
            <a:ext uri="{FF2B5EF4-FFF2-40B4-BE49-F238E27FC236}">
              <a16:creationId xmlns:a16="http://schemas.microsoft.com/office/drawing/2014/main" id="{00000000-0008-0000-0B00-000061000000}"/>
            </a:ext>
          </a:extLst>
        </xdr:cNvPr>
        <xdr:cNvSpPr>
          <a:spLocks noChangeArrowheads="1"/>
        </xdr:cNvSpPr>
      </xdr:nvSpPr>
      <xdr:spPr>
        <a:xfrm>
          <a:off x="1552575" y="14411325"/>
          <a:ext cx="523875" cy="390525"/>
        </a:xfrm>
        <a:prstGeom prst="rect">
          <a:avLst/>
        </a:prstGeom>
        <a:solidFill>
          <a:srgbClr val="FFFFFF"/>
        </a:solidFill>
        <a:ln w="9525">
          <a:solidFill>
            <a:srgbClr val="000000"/>
          </a:solidFill>
          <a:miter lim="800000"/>
        </a:ln>
      </xdr:spPr>
    </xdr:sp>
    <xdr:clientData/>
  </xdr:twoCellAnchor>
  <xdr:twoCellAnchor>
    <xdr:from>
      <xdr:col>3</xdr:col>
      <xdr:colOff>914400</xdr:colOff>
      <xdr:row>111</xdr:row>
      <xdr:rowOff>95250</xdr:rowOff>
    </xdr:from>
    <xdr:to>
      <xdr:col>5</xdr:col>
      <xdr:colOff>447675</xdr:colOff>
      <xdr:row>114</xdr:row>
      <xdr:rowOff>0</xdr:rowOff>
    </xdr:to>
    <xdr:sp macro="" textlink="">
      <xdr:nvSpPr>
        <xdr:cNvPr id="98" name="Rectangle 235">
          <a:extLst>
            <a:ext uri="{FF2B5EF4-FFF2-40B4-BE49-F238E27FC236}">
              <a16:creationId xmlns:a16="http://schemas.microsoft.com/office/drawing/2014/main" id="{00000000-0008-0000-0B00-000062000000}"/>
            </a:ext>
          </a:extLst>
        </xdr:cNvPr>
        <xdr:cNvSpPr>
          <a:spLocks noChangeArrowheads="1"/>
        </xdr:cNvSpPr>
      </xdr:nvSpPr>
      <xdr:spPr>
        <a:xfrm>
          <a:off x="2990850" y="14411325"/>
          <a:ext cx="666750" cy="390525"/>
        </a:xfrm>
        <a:prstGeom prst="rect">
          <a:avLst/>
        </a:prstGeom>
        <a:solidFill>
          <a:srgbClr val="FFFFFF"/>
        </a:solidFill>
        <a:ln w="9525">
          <a:solidFill>
            <a:srgbClr val="000000"/>
          </a:solidFill>
          <a:miter lim="800000"/>
        </a:ln>
      </xdr:spPr>
    </xdr:sp>
    <xdr:clientData/>
  </xdr:twoCellAnchor>
  <xdr:twoCellAnchor>
    <xdr:from>
      <xdr:col>5</xdr:col>
      <xdr:colOff>419100</xdr:colOff>
      <xdr:row>111</xdr:row>
      <xdr:rowOff>95250</xdr:rowOff>
    </xdr:from>
    <xdr:to>
      <xdr:col>6</xdr:col>
      <xdr:colOff>0</xdr:colOff>
      <xdr:row>114</xdr:row>
      <xdr:rowOff>0</xdr:rowOff>
    </xdr:to>
    <xdr:sp macro="" textlink="">
      <xdr:nvSpPr>
        <xdr:cNvPr id="99" name="Rectangle 236">
          <a:extLst>
            <a:ext uri="{FF2B5EF4-FFF2-40B4-BE49-F238E27FC236}">
              <a16:creationId xmlns:a16="http://schemas.microsoft.com/office/drawing/2014/main" id="{00000000-0008-0000-0B00-000063000000}"/>
            </a:ext>
          </a:extLst>
        </xdr:cNvPr>
        <xdr:cNvSpPr>
          <a:spLocks noChangeArrowheads="1"/>
        </xdr:cNvSpPr>
      </xdr:nvSpPr>
      <xdr:spPr>
        <a:xfrm>
          <a:off x="3629025" y="14411325"/>
          <a:ext cx="276225" cy="390525"/>
        </a:xfrm>
        <a:prstGeom prst="rect">
          <a:avLst/>
        </a:prstGeom>
        <a:solidFill>
          <a:srgbClr val="FFFFFF"/>
        </a:solidFill>
        <a:ln w="9525">
          <a:solidFill>
            <a:srgbClr val="000000"/>
          </a:solidFill>
          <a:miter lim="800000"/>
        </a:ln>
      </xdr:spPr>
    </xdr:sp>
    <xdr:clientData/>
  </xdr:twoCellAnchor>
  <xdr:twoCellAnchor>
    <xdr:from>
      <xdr:col>2</xdr:col>
      <xdr:colOff>1000125</xdr:colOff>
      <xdr:row>111</xdr:row>
      <xdr:rowOff>95250</xdr:rowOff>
    </xdr:from>
    <xdr:to>
      <xdr:col>3</xdr:col>
      <xdr:colOff>914400</xdr:colOff>
      <xdr:row>114</xdr:row>
      <xdr:rowOff>0</xdr:rowOff>
    </xdr:to>
    <xdr:sp macro="" textlink="">
      <xdr:nvSpPr>
        <xdr:cNvPr id="100" name="Rectangle 237">
          <a:extLst>
            <a:ext uri="{FF2B5EF4-FFF2-40B4-BE49-F238E27FC236}">
              <a16:creationId xmlns:a16="http://schemas.microsoft.com/office/drawing/2014/main" id="{00000000-0008-0000-0B00-000064000000}"/>
            </a:ext>
          </a:extLst>
        </xdr:cNvPr>
        <xdr:cNvSpPr>
          <a:spLocks noChangeArrowheads="1"/>
        </xdr:cNvSpPr>
      </xdr:nvSpPr>
      <xdr:spPr>
        <a:xfrm>
          <a:off x="2076450" y="14411325"/>
          <a:ext cx="914400" cy="390525"/>
        </a:xfrm>
        <a:prstGeom prst="rect">
          <a:avLst/>
        </a:prstGeom>
        <a:solidFill>
          <a:srgbClr val="FFFFFF"/>
        </a:solidFill>
        <a:ln w="9525">
          <a:solidFill>
            <a:srgbClr val="000000"/>
          </a:solidFill>
          <a:miter lim="800000"/>
        </a:ln>
      </xdr:spPr>
    </xdr:sp>
    <xdr:clientData/>
  </xdr:twoCellAnchor>
  <xdr:twoCellAnchor>
    <xdr:from>
      <xdr:col>7</xdr:col>
      <xdr:colOff>0</xdr:colOff>
      <xdr:row>108</xdr:row>
      <xdr:rowOff>9525</xdr:rowOff>
    </xdr:from>
    <xdr:to>
      <xdr:col>22</xdr:col>
      <xdr:colOff>0</xdr:colOff>
      <xdr:row>110</xdr:row>
      <xdr:rowOff>76200</xdr:rowOff>
    </xdr:to>
    <xdr:sp macro="" textlink="">
      <xdr:nvSpPr>
        <xdr:cNvPr id="101" name="Rectangle 238">
          <a:extLst>
            <a:ext uri="{FF2B5EF4-FFF2-40B4-BE49-F238E27FC236}">
              <a16:creationId xmlns:a16="http://schemas.microsoft.com/office/drawing/2014/main" id="{00000000-0008-0000-0B00-000065000000}"/>
            </a:ext>
          </a:extLst>
        </xdr:cNvPr>
        <xdr:cNvSpPr>
          <a:spLocks noChangeArrowheads="1"/>
        </xdr:cNvSpPr>
      </xdr:nvSpPr>
      <xdr:spPr>
        <a:xfrm>
          <a:off x="3905250" y="13839825"/>
          <a:ext cx="3590925" cy="390525"/>
        </a:xfrm>
        <a:prstGeom prst="rect">
          <a:avLst/>
        </a:prstGeom>
        <a:solidFill>
          <a:srgbClr val="FFFFFF"/>
        </a:solidFill>
        <a:ln w="9525">
          <a:solidFill>
            <a:srgbClr val="000000"/>
          </a:solidFill>
          <a:miter lim="800000"/>
        </a:ln>
      </xdr:spPr>
    </xdr:sp>
    <xdr:clientData/>
  </xdr:twoCellAnchor>
  <xdr:twoCellAnchor>
    <xdr:from>
      <xdr:col>7</xdr:col>
      <xdr:colOff>0</xdr:colOff>
      <xdr:row>110</xdr:row>
      <xdr:rowOff>76200</xdr:rowOff>
    </xdr:from>
    <xdr:to>
      <xdr:col>22</xdr:col>
      <xdr:colOff>0</xdr:colOff>
      <xdr:row>113</xdr:row>
      <xdr:rowOff>0</xdr:rowOff>
    </xdr:to>
    <xdr:sp macro="" textlink="">
      <xdr:nvSpPr>
        <xdr:cNvPr id="102" name="Rectangle 239">
          <a:extLst>
            <a:ext uri="{FF2B5EF4-FFF2-40B4-BE49-F238E27FC236}">
              <a16:creationId xmlns:a16="http://schemas.microsoft.com/office/drawing/2014/main" id="{00000000-0008-0000-0B00-000066000000}"/>
            </a:ext>
          </a:extLst>
        </xdr:cNvPr>
        <xdr:cNvSpPr>
          <a:spLocks noChangeArrowheads="1"/>
        </xdr:cNvSpPr>
      </xdr:nvSpPr>
      <xdr:spPr>
        <a:xfrm>
          <a:off x="3905250" y="14230350"/>
          <a:ext cx="3590925" cy="409575"/>
        </a:xfrm>
        <a:prstGeom prst="rect">
          <a:avLst/>
        </a:prstGeom>
        <a:solidFill>
          <a:srgbClr val="FFFFFF"/>
        </a:solidFill>
        <a:ln w="9525">
          <a:solidFill>
            <a:srgbClr val="000000"/>
          </a:solidFill>
          <a:miter lim="800000"/>
        </a:ln>
      </xdr:spPr>
    </xdr:sp>
    <xdr:clientData/>
  </xdr:twoCellAnchor>
  <xdr:twoCellAnchor>
    <xdr:from>
      <xdr:col>7</xdr:col>
      <xdr:colOff>28575</xdr:colOff>
      <xdr:row>109</xdr:row>
      <xdr:rowOff>41275</xdr:rowOff>
    </xdr:from>
    <xdr:to>
      <xdr:col>7</xdr:col>
      <xdr:colOff>209550</xdr:colOff>
      <xdr:row>110</xdr:row>
      <xdr:rowOff>37978</xdr:rowOff>
    </xdr:to>
    <xdr:sp macro="" textlink="">
      <xdr:nvSpPr>
        <xdr:cNvPr id="103" name="Rectangle 242">
          <a:extLst>
            <a:ext uri="{FF2B5EF4-FFF2-40B4-BE49-F238E27FC236}">
              <a16:creationId xmlns:a16="http://schemas.microsoft.com/office/drawing/2014/main" id="{00000000-0008-0000-0B00-000067000000}"/>
            </a:ext>
          </a:extLst>
        </xdr:cNvPr>
        <xdr:cNvSpPr>
          <a:spLocks noChangeArrowheads="1"/>
        </xdr:cNvSpPr>
      </xdr:nvSpPr>
      <xdr:spPr>
        <a:xfrm>
          <a:off x="3933825" y="14033500"/>
          <a:ext cx="171450" cy="15811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12</a:t>
          </a:r>
        </a:p>
      </xdr:txBody>
    </xdr:sp>
    <xdr:clientData/>
  </xdr:twoCellAnchor>
  <xdr:twoCellAnchor>
    <xdr:from>
      <xdr:col>0</xdr:col>
      <xdr:colOff>19050</xdr:colOff>
      <xdr:row>108</xdr:row>
      <xdr:rowOff>158750</xdr:rowOff>
    </xdr:from>
    <xdr:to>
      <xdr:col>2</xdr:col>
      <xdr:colOff>28575</xdr:colOff>
      <xdr:row>109</xdr:row>
      <xdr:rowOff>136102</xdr:rowOff>
    </xdr:to>
    <xdr:sp macro="" textlink="">
      <xdr:nvSpPr>
        <xdr:cNvPr id="104" name="Rectangle 243">
          <a:extLst>
            <a:ext uri="{FF2B5EF4-FFF2-40B4-BE49-F238E27FC236}">
              <a16:creationId xmlns:a16="http://schemas.microsoft.com/office/drawing/2014/main" id="{00000000-0008-0000-0B00-000068000000}"/>
            </a:ext>
          </a:extLst>
        </xdr:cNvPr>
        <xdr:cNvSpPr>
          <a:spLocks noChangeArrowheads="1"/>
        </xdr:cNvSpPr>
      </xdr:nvSpPr>
      <xdr:spPr>
        <a:xfrm>
          <a:off x="19050" y="13989050"/>
          <a:ext cx="1190625" cy="13906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11</a:t>
          </a:r>
        </a:p>
      </xdr:txBody>
    </xdr:sp>
    <xdr:clientData/>
  </xdr:twoCellAnchor>
  <xdr:twoCellAnchor>
    <xdr:from>
      <xdr:col>8</xdr:col>
      <xdr:colOff>152400</xdr:colOff>
      <xdr:row>109</xdr:row>
      <xdr:rowOff>50800</xdr:rowOff>
    </xdr:from>
    <xdr:to>
      <xdr:col>13</xdr:col>
      <xdr:colOff>66675</xdr:colOff>
      <xdr:row>110</xdr:row>
      <xdr:rowOff>47503</xdr:rowOff>
    </xdr:to>
    <xdr:sp macro="" textlink="">
      <xdr:nvSpPr>
        <xdr:cNvPr id="105" name="Rectangle 244">
          <a:extLst>
            <a:ext uri="{FF2B5EF4-FFF2-40B4-BE49-F238E27FC236}">
              <a16:creationId xmlns:a16="http://schemas.microsoft.com/office/drawing/2014/main" id="{00000000-0008-0000-0B00-000069000000}"/>
            </a:ext>
          </a:extLst>
        </xdr:cNvPr>
        <xdr:cNvSpPr>
          <a:spLocks noChangeArrowheads="1"/>
        </xdr:cNvSpPr>
      </xdr:nvSpPr>
      <xdr:spPr>
        <a:xfrm>
          <a:off x="4257675" y="14043025"/>
          <a:ext cx="857250" cy="15811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SUBTOTAL</a:t>
          </a:r>
        </a:p>
      </xdr:txBody>
    </xdr:sp>
    <xdr:clientData/>
  </xdr:twoCellAnchor>
  <xdr:twoCellAnchor>
    <xdr:from>
      <xdr:col>17</xdr:col>
      <xdr:colOff>161925</xdr:colOff>
      <xdr:row>108</xdr:row>
      <xdr:rowOff>50800</xdr:rowOff>
    </xdr:from>
    <xdr:to>
      <xdr:col>20</xdr:col>
      <xdr:colOff>200025</xdr:colOff>
      <xdr:row>109</xdr:row>
      <xdr:rowOff>47503</xdr:rowOff>
    </xdr:to>
    <xdr:sp macro="" textlink="">
      <xdr:nvSpPr>
        <xdr:cNvPr id="106" name="Rectangle 245">
          <a:extLst>
            <a:ext uri="{FF2B5EF4-FFF2-40B4-BE49-F238E27FC236}">
              <a16:creationId xmlns:a16="http://schemas.microsoft.com/office/drawing/2014/main" id="{00000000-0008-0000-0B00-00006A000000}"/>
            </a:ext>
          </a:extLst>
        </xdr:cNvPr>
        <xdr:cNvSpPr>
          <a:spLocks noChangeArrowheads="1"/>
        </xdr:cNvSpPr>
      </xdr:nvSpPr>
      <xdr:spPr>
        <a:xfrm>
          <a:off x="6019800" y="13881100"/>
          <a:ext cx="752475" cy="15811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57150</xdr:colOff>
      <xdr:row>110</xdr:row>
      <xdr:rowOff>47625</xdr:rowOff>
    </xdr:from>
    <xdr:to>
      <xdr:col>16</xdr:col>
      <xdr:colOff>219075</xdr:colOff>
      <xdr:row>111</xdr:row>
      <xdr:rowOff>85725</xdr:rowOff>
    </xdr:to>
    <xdr:sp macro="" textlink="">
      <xdr:nvSpPr>
        <xdr:cNvPr id="107" name="Rectangle 246">
          <a:extLst>
            <a:ext uri="{FF2B5EF4-FFF2-40B4-BE49-F238E27FC236}">
              <a16:creationId xmlns:a16="http://schemas.microsoft.com/office/drawing/2014/main" id="{00000000-0008-0000-0B00-00006B000000}"/>
            </a:ext>
          </a:extLst>
        </xdr:cNvPr>
        <xdr:cNvSpPr>
          <a:spLocks noChangeArrowheads="1"/>
        </xdr:cNvSpPr>
      </xdr:nvSpPr>
      <xdr:spPr>
        <a:xfrm>
          <a:off x="4162425" y="14201775"/>
          <a:ext cx="1695450"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every page)</a:t>
          </a:r>
        </a:p>
      </xdr:txBody>
    </xdr:sp>
    <xdr:clientData/>
  </xdr:twoCellAnchor>
  <xdr:twoCellAnchor>
    <xdr:from>
      <xdr:col>20</xdr:col>
      <xdr:colOff>57150</xdr:colOff>
      <xdr:row>109</xdr:row>
      <xdr:rowOff>95250</xdr:rowOff>
    </xdr:from>
    <xdr:to>
      <xdr:col>21</xdr:col>
      <xdr:colOff>219075</xdr:colOff>
      <xdr:row>109</xdr:row>
      <xdr:rowOff>95250</xdr:rowOff>
    </xdr:to>
    <xdr:sp macro="" textlink="">
      <xdr:nvSpPr>
        <xdr:cNvPr id="108" name="Line 247">
          <a:extLst>
            <a:ext uri="{FF2B5EF4-FFF2-40B4-BE49-F238E27FC236}">
              <a16:creationId xmlns:a16="http://schemas.microsoft.com/office/drawing/2014/main" id="{00000000-0008-0000-0B00-00006C000000}"/>
            </a:ext>
          </a:extLst>
        </xdr:cNvPr>
        <xdr:cNvSpPr>
          <a:spLocks noChangeShapeType="1"/>
        </xdr:cNvSpPr>
      </xdr:nvSpPr>
      <xdr:spPr>
        <a:xfrm>
          <a:off x="6772275" y="14087475"/>
          <a:ext cx="180975" cy="0"/>
        </a:xfrm>
        <a:prstGeom prst="line">
          <a:avLst/>
        </a:prstGeom>
        <a:noFill/>
        <a:ln w="38100">
          <a:solidFill>
            <a:srgbClr val="000000"/>
          </a:solidFill>
          <a:round/>
          <a:tailEnd type="triangle" w="med" len="med"/>
        </a:ln>
      </xdr:spPr>
    </xdr:sp>
    <xdr:clientData/>
  </xdr:twoCellAnchor>
  <xdr:twoCellAnchor>
    <xdr:from>
      <xdr:col>9</xdr:col>
      <xdr:colOff>9525</xdr:colOff>
      <xdr:row>111</xdr:row>
      <xdr:rowOff>114300</xdr:rowOff>
    </xdr:from>
    <xdr:to>
      <xdr:col>13</xdr:col>
      <xdr:colOff>152400</xdr:colOff>
      <xdr:row>112</xdr:row>
      <xdr:rowOff>117642</xdr:rowOff>
    </xdr:to>
    <xdr:sp macro="" textlink="">
      <xdr:nvSpPr>
        <xdr:cNvPr id="109" name="Rectangle 248">
          <a:extLst>
            <a:ext uri="{FF2B5EF4-FFF2-40B4-BE49-F238E27FC236}">
              <a16:creationId xmlns:a16="http://schemas.microsoft.com/office/drawing/2014/main" id="{00000000-0008-0000-0B00-00006D000000}"/>
            </a:ext>
          </a:extLst>
        </xdr:cNvPr>
        <xdr:cNvSpPr>
          <a:spLocks noChangeArrowheads="1"/>
        </xdr:cNvSpPr>
      </xdr:nvSpPr>
      <xdr:spPr>
        <a:xfrm>
          <a:off x="4333875" y="14430375"/>
          <a:ext cx="866775"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GRAND TOTAL</a:t>
          </a:r>
        </a:p>
      </xdr:txBody>
    </xdr:sp>
    <xdr:clientData/>
  </xdr:twoCellAnchor>
  <xdr:twoCellAnchor>
    <xdr:from>
      <xdr:col>17</xdr:col>
      <xdr:colOff>152400</xdr:colOff>
      <xdr:row>110</xdr:row>
      <xdr:rowOff>114300</xdr:rowOff>
    </xdr:from>
    <xdr:to>
      <xdr:col>20</xdr:col>
      <xdr:colOff>190500</xdr:colOff>
      <xdr:row>111</xdr:row>
      <xdr:rowOff>117642</xdr:rowOff>
    </xdr:to>
    <xdr:sp macro="" textlink="">
      <xdr:nvSpPr>
        <xdr:cNvPr id="110" name="Rectangle 249">
          <a:extLst>
            <a:ext uri="{FF2B5EF4-FFF2-40B4-BE49-F238E27FC236}">
              <a16:creationId xmlns:a16="http://schemas.microsoft.com/office/drawing/2014/main" id="{00000000-0008-0000-0B00-00006E000000}"/>
            </a:ext>
          </a:extLst>
        </xdr:cNvPr>
        <xdr:cNvSpPr>
          <a:spLocks noChangeArrowheads="1"/>
        </xdr:cNvSpPr>
      </xdr:nvSpPr>
      <xdr:spPr>
        <a:xfrm>
          <a:off x="6010275" y="14268450"/>
          <a:ext cx="762000"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76200</xdr:colOff>
      <xdr:row>112</xdr:row>
      <xdr:rowOff>117475</xdr:rowOff>
    </xdr:from>
    <xdr:to>
      <xdr:col>17</xdr:col>
      <xdr:colOff>9525</xdr:colOff>
      <xdr:row>113</xdr:row>
      <xdr:rowOff>155575</xdr:rowOff>
    </xdr:to>
    <xdr:sp macro="" textlink="">
      <xdr:nvSpPr>
        <xdr:cNvPr id="111" name="Rectangle 250">
          <a:extLst>
            <a:ext uri="{FF2B5EF4-FFF2-40B4-BE49-F238E27FC236}">
              <a16:creationId xmlns:a16="http://schemas.microsoft.com/office/drawing/2014/main" id="{00000000-0008-0000-0B00-00006F000000}"/>
            </a:ext>
          </a:extLst>
        </xdr:cNvPr>
        <xdr:cNvSpPr>
          <a:spLocks noChangeArrowheads="1"/>
        </xdr:cNvSpPr>
      </xdr:nvSpPr>
      <xdr:spPr>
        <a:xfrm>
          <a:off x="4181475" y="14595475"/>
          <a:ext cx="1685925"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the last page)</a:t>
          </a:r>
        </a:p>
      </xdr:txBody>
    </xdr:sp>
    <xdr:clientData/>
  </xdr:twoCellAnchor>
  <xdr:twoCellAnchor>
    <xdr:from>
      <xdr:col>20</xdr:col>
      <xdr:colOff>47625</xdr:colOff>
      <xdr:row>112</xdr:row>
      <xdr:rowOff>0</xdr:rowOff>
    </xdr:from>
    <xdr:to>
      <xdr:col>21</xdr:col>
      <xdr:colOff>209550</xdr:colOff>
      <xdr:row>112</xdr:row>
      <xdr:rowOff>0</xdr:rowOff>
    </xdr:to>
    <xdr:sp macro="" textlink="">
      <xdr:nvSpPr>
        <xdr:cNvPr id="112" name="Line 251">
          <a:extLst>
            <a:ext uri="{FF2B5EF4-FFF2-40B4-BE49-F238E27FC236}">
              <a16:creationId xmlns:a16="http://schemas.microsoft.com/office/drawing/2014/main" id="{00000000-0008-0000-0B00-000070000000}"/>
            </a:ext>
          </a:extLst>
        </xdr:cNvPr>
        <xdr:cNvSpPr>
          <a:spLocks noChangeShapeType="1"/>
        </xdr:cNvSpPr>
      </xdr:nvSpPr>
      <xdr:spPr>
        <a:xfrm>
          <a:off x="6772275" y="14478000"/>
          <a:ext cx="180975" cy="0"/>
        </a:xfrm>
        <a:prstGeom prst="line">
          <a:avLst/>
        </a:prstGeom>
        <a:noFill/>
        <a:ln w="38100">
          <a:solidFill>
            <a:srgbClr val="000000"/>
          </a:solidFill>
          <a:round/>
          <a:tailEnd type="triangle" w="med" len="med"/>
        </a:ln>
      </xdr:spPr>
    </xdr:sp>
    <xdr:clientData/>
  </xdr:twoCellAnchor>
  <xdr:twoCellAnchor>
    <xdr:from>
      <xdr:col>0</xdr:col>
      <xdr:colOff>66675</xdr:colOff>
      <xdr:row>127</xdr:row>
      <xdr:rowOff>0</xdr:rowOff>
    </xdr:from>
    <xdr:to>
      <xdr:col>0</xdr:col>
      <xdr:colOff>219075</xdr:colOff>
      <xdr:row>128</xdr:row>
      <xdr:rowOff>171450</xdr:rowOff>
    </xdr:to>
    <xdr:sp macro="" textlink="">
      <xdr:nvSpPr>
        <xdr:cNvPr id="139" name="AutoShape 208">
          <a:extLst>
            <a:ext uri="{FF2B5EF4-FFF2-40B4-BE49-F238E27FC236}">
              <a16:creationId xmlns:a16="http://schemas.microsoft.com/office/drawing/2014/main" id="{00000000-0008-0000-0B00-00008B000000}"/>
            </a:ext>
          </a:extLst>
        </xdr:cNvPr>
        <xdr:cNvSpPr>
          <a:spLocks noChangeArrowheads="1"/>
        </xdr:cNvSpPr>
      </xdr:nvSpPr>
      <xdr:spPr>
        <a:xfrm>
          <a:off x="66675" y="16925925"/>
          <a:ext cx="133350" cy="390525"/>
        </a:xfrm>
        <a:prstGeom prst="cube">
          <a:avLst>
            <a:gd name="adj" fmla="val 25000"/>
          </a:avLst>
        </a:prstGeom>
        <a:solidFill>
          <a:srgbClr val="000000"/>
        </a:solidFill>
        <a:ln w="9525">
          <a:solidFill>
            <a:srgbClr val="000000"/>
          </a:solidFill>
          <a:miter lim="800000"/>
        </a:ln>
      </xdr:spPr>
    </xdr:sp>
    <xdr:clientData/>
  </xdr:twoCellAnchor>
  <xdr:twoCellAnchor>
    <xdr:from>
      <xdr:col>0</xdr:col>
      <xdr:colOff>47625</xdr:colOff>
      <xdr:row>126</xdr:row>
      <xdr:rowOff>28575</xdr:rowOff>
    </xdr:from>
    <xdr:to>
      <xdr:col>0</xdr:col>
      <xdr:colOff>219075</xdr:colOff>
      <xdr:row>127</xdr:row>
      <xdr:rowOff>9525</xdr:rowOff>
    </xdr:to>
    <xdr:sp macro="" textlink="">
      <xdr:nvSpPr>
        <xdr:cNvPr id="140" name="Oval 209">
          <a:extLst>
            <a:ext uri="{FF2B5EF4-FFF2-40B4-BE49-F238E27FC236}">
              <a16:creationId xmlns:a16="http://schemas.microsoft.com/office/drawing/2014/main" id="{00000000-0008-0000-0B00-00008C000000}"/>
            </a:ext>
          </a:extLst>
        </xdr:cNvPr>
        <xdr:cNvSpPr>
          <a:spLocks noChangeArrowheads="1"/>
        </xdr:cNvSpPr>
      </xdr:nvSpPr>
      <xdr:spPr>
        <a:xfrm>
          <a:off x="47625" y="16783050"/>
          <a:ext cx="152400" cy="152400"/>
        </a:xfrm>
        <a:prstGeom prst="ellipse">
          <a:avLst/>
        </a:prstGeom>
        <a:solidFill>
          <a:srgbClr val="FFFF00"/>
        </a:solidFill>
        <a:ln w="9525">
          <a:solidFill>
            <a:srgbClr val="000000"/>
          </a:solidFill>
          <a:round/>
        </a:ln>
      </xdr:spPr>
    </xdr:sp>
    <xdr:clientData/>
  </xdr:twoCellAnchor>
  <xdr:twoCellAnchor>
    <xdr:from>
      <xdr:col>0</xdr:col>
      <xdr:colOff>238125</xdr:colOff>
      <xdr:row>127</xdr:row>
      <xdr:rowOff>66675</xdr:rowOff>
    </xdr:from>
    <xdr:to>
      <xdr:col>2</xdr:col>
      <xdr:colOff>114300</xdr:colOff>
      <xdr:row>128</xdr:row>
      <xdr:rowOff>104775</xdr:rowOff>
    </xdr:to>
    <xdr:sp macro="" textlink="">
      <xdr:nvSpPr>
        <xdr:cNvPr id="141" name="AutoShape 210">
          <a:extLst>
            <a:ext uri="{FF2B5EF4-FFF2-40B4-BE49-F238E27FC236}">
              <a16:creationId xmlns:a16="http://schemas.microsoft.com/office/drawing/2014/main" id="{00000000-0008-0000-0B00-00008D000000}"/>
            </a:ext>
          </a:extLst>
        </xdr:cNvPr>
        <xdr:cNvSpPr>
          <a:spLocks noChangeArrowheads="1"/>
        </xdr:cNvSpPr>
      </xdr:nvSpPr>
      <xdr:spPr>
        <a:xfrm>
          <a:off x="200025" y="16992600"/>
          <a:ext cx="1095375" cy="257175"/>
        </a:xfrm>
        <a:prstGeom prst="cube">
          <a:avLst>
            <a:gd name="adj" fmla="val 18750"/>
          </a:avLst>
        </a:prstGeom>
        <a:solidFill>
          <a:srgbClr val="000000"/>
        </a:solidFill>
        <a:ln w="9525">
          <a:solidFill>
            <a:srgbClr val="000000"/>
          </a:solidFill>
          <a:miter lim="800000"/>
        </a:ln>
      </xdr:spPr>
    </xdr:sp>
    <xdr:clientData/>
  </xdr:twoCellAnchor>
  <xdr:twoCellAnchor>
    <xdr:from>
      <xdr:col>0</xdr:col>
      <xdr:colOff>238125</xdr:colOff>
      <xdr:row>126</xdr:row>
      <xdr:rowOff>123825</xdr:rowOff>
    </xdr:from>
    <xdr:to>
      <xdr:col>2</xdr:col>
      <xdr:colOff>123825</xdr:colOff>
      <xdr:row>127</xdr:row>
      <xdr:rowOff>76200</xdr:rowOff>
    </xdr:to>
    <xdr:sp macro="" textlink="">
      <xdr:nvSpPr>
        <xdr:cNvPr id="142" name="Oval 211">
          <a:extLst>
            <a:ext uri="{FF2B5EF4-FFF2-40B4-BE49-F238E27FC236}">
              <a16:creationId xmlns:a16="http://schemas.microsoft.com/office/drawing/2014/main" id="{00000000-0008-0000-0B00-00008E000000}"/>
            </a:ext>
          </a:extLst>
        </xdr:cNvPr>
        <xdr:cNvSpPr>
          <a:spLocks noChangeArrowheads="1"/>
        </xdr:cNvSpPr>
      </xdr:nvSpPr>
      <xdr:spPr>
        <a:xfrm>
          <a:off x="200025" y="16878300"/>
          <a:ext cx="1104900" cy="123825"/>
        </a:xfrm>
        <a:prstGeom prst="ellipse">
          <a:avLst/>
        </a:prstGeom>
        <a:solidFill>
          <a:srgbClr val="FFFF00"/>
        </a:solidFill>
        <a:ln w="9525">
          <a:solidFill>
            <a:srgbClr val="000000"/>
          </a:solidFill>
          <a:round/>
        </a:ln>
      </xdr:spPr>
    </xdr:sp>
    <xdr:clientData/>
  </xdr:twoCellAnchor>
  <xdr:twoCellAnchor>
    <xdr:from>
      <xdr:col>2</xdr:col>
      <xdr:colOff>314325</xdr:colOff>
      <xdr:row>126</xdr:row>
      <xdr:rowOff>85725</xdr:rowOff>
    </xdr:from>
    <xdr:to>
      <xdr:col>2</xdr:col>
      <xdr:colOff>847725</xdr:colOff>
      <xdr:row>128</xdr:row>
      <xdr:rowOff>0</xdr:rowOff>
    </xdr:to>
    <xdr:sp macro="" textlink="">
      <xdr:nvSpPr>
        <xdr:cNvPr id="143" name="WordArt 212">
          <a:extLst>
            <a:ext uri="{FF2B5EF4-FFF2-40B4-BE49-F238E27FC236}">
              <a16:creationId xmlns:a16="http://schemas.microsoft.com/office/drawing/2014/main" id="{00000000-0008-0000-0B00-00008F000000}"/>
            </a:ext>
          </a:extLst>
        </xdr:cNvPr>
        <xdr:cNvSpPr>
          <a:spLocks noChangeArrowheads="1" noChangeShapeType="1" noTextEdit="1"/>
        </xdr:cNvSpPr>
      </xdr:nvSpPr>
      <xdr:spPr>
        <a:xfrm>
          <a:off x="1495425" y="16840200"/>
          <a:ext cx="533400" cy="304800"/>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ln>
              <a:solidFill>
                <a:srgbClr val="000000"/>
              </a:solidFill>
              <a:effectLst/>
              <a:latin typeface="Arial Black" panose="020B0A04020102020204"/>
            </a:rPr>
            <a:t>RF - 1</a:t>
          </a:r>
        </a:p>
      </xdr:txBody>
    </xdr:sp>
    <xdr:clientData/>
  </xdr:twoCellAnchor>
  <xdr:twoCellAnchor>
    <xdr:from>
      <xdr:col>0</xdr:col>
      <xdr:colOff>28575</xdr:colOff>
      <xdr:row>129</xdr:row>
      <xdr:rowOff>31750</xdr:rowOff>
    </xdr:from>
    <xdr:to>
      <xdr:col>0</xdr:col>
      <xdr:colOff>209550</xdr:colOff>
      <xdr:row>130</xdr:row>
      <xdr:rowOff>26535</xdr:rowOff>
    </xdr:to>
    <xdr:sp macro="" textlink="">
      <xdr:nvSpPr>
        <xdr:cNvPr id="144" name="Rectangle 213">
          <a:extLst>
            <a:ext uri="{FF2B5EF4-FFF2-40B4-BE49-F238E27FC236}">
              <a16:creationId xmlns:a16="http://schemas.microsoft.com/office/drawing/2014/main" id="{00000000-0008-0000-0B00-000090000000}"/>
            </a:ext>
          </a:extLst>
        </xdr:cNvPr>
        <xdr:cNvSpPr>
          <a:spLocks noChangeArrowheads="1"/>
        </xdr:cNvSpPr>
      </xdr:nvSpPr>
      <xdr:spPr>
        <a:xfrm>
          <a:off x="28575" y="17481550"/>
          <a:ext cx="171450" cy="156210"/>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a:t>
          </a:r>
        </a:p>
      </xdr:txBody>
    </xdr:sp>
    <xdr:clientData/>
  </xdr:twoCellAnchor>
  <xdr:twoCellAnchor>
    <xdr:from>
      <xdr:col>0</xdr:col>
      <xdr:colOff>28575</xdr:colOff>
      <xdr:row>133</xdr:row>
      <xdr:rowOff>53975</xdr:rowOff>
    </xdr:from>
    <xdr:to>
      <xdr:col>0</xdr:col>
      <xdr:colOff>209550</xdr:colOff>
      <xdr:row>134</xdr:row>
      <xdr:rowOff>44450</xdr:rowOff>
    </xdr:to>
    <xdr:sp macro="" textlink="">
      <xdr:nvSpPr>
        <xdr:cNvPr id="145" name="Rectangle 214">
          <a:extLst>
            <a:ext uri="{FF2B5EF4-FFF2-40B4-BE49-F238E27FC236}">
              <a16:creationId xmlns:a16="http://schemas.microsoft.com/office/drawing/2014/main" id="{00000000-0008-0000-0B00-000091000000}"/>
            </a:ext>
          </a:extLst>
        </xdr:cNvPr>
        <xdr:cNvSpPr>
          <a:spLocks noChangeArrowheads="1"/>
        </xdr:cNvSpPr>
      </xdr:nvSpPr>
      <xdr:spPr>
        <a:xfrm>
          <a:off x="28575" y="18161000"/>
          <a:ext cx="171450" cy="152400"/>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2</a:t>
          </a:r>
        </a:p>
      </xdr:txBody>
    </xdr:sp>
    <xdr:clientData/>
  </xdr:twoCellAnchor>
  <xdr:twoCellAnchor>
    <xdr:from>
      <xdr:col>7</xdr:col>
      <xdr:colOff>38100</xdr:colOff>
      <xdr:row>133</xdr:row>
      <xdr:rowOff>53975</xdr:rowOff>
    </xdr:from>
    <xdr:to>
      <xdr:col>7</xdr:col>
      <xdr:colOff>219075</xdr:colOff>
      <xdr:row>134</xdr:row>
      <xdr:rowOff>44450</xdr:rowOff>
    </xdr:to>
    <xdr:sp macro="" textlink="">
      <xdr:nvSpPr>
        <xdr:cNvPr id="146" name="Rectangle 215">
          <a:extLst>
            <a:ext uri="{FF2B5EF4-FFF2-40B4-BE49-F238E27FC236}">
              <a16:creationId xmlns:a16="http://schemas.microsoft.com/office/drawing/2014/main" id="{00000000-0008-0000-0B00-000092000000}"/>
            </a:ext>
          </a:extLst>
        </xdr:cNvPr>
        <xdr:cNvSpPr>
          <a:spLocks noChangeArrowheads="1"/>
        </xdr:cNvSpPr>
      </xdr:nvSpPr>
      <xdr:spPr>
        <a:xfrm>
          <a:off x="3943350" y="18161000"/>
          <a:ext cx="161925" cy="152400"/>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3</a:t>
          </a:r>
        </a:p>
      </xdr:txBody>
    </xdr:sp>
    <xdr:clientData/>
  </xdr:twoCellAnchor>
  <xdr:twoCellAnchor>
    <xdr:from>
      <xdr:col>22</xdr:col>
      <xdr:colOff>38100</xdr:colOff>
      <xdr:row>138</xdr:row>
      <xdr:rowOff>22225</xdr:rowOff>
    </xdr:from>
    <xdr:to>
      <xdr:col>22</xdr:col>
      <xdr:colOff>219075</xdr:colOff>
      <xdr:row>139</xdr:row>
      <xdr:rowOff>12877</xdr:rowOff>
    </xdr:to>
    <xdr:sp macro="" textlink="">
      <xdr:nvSpPr>
        <xdr:cNvPr id="149" name="Rectangle 218">
          <a:extLst>
            <a:ext uri="{FF2B5EF4-FFF2-40B4-BE49-F238E27FC236}">
              <a16:creationId xmlns:a16="http://schemas.microsoft.com/office/drawing/2014/main" id="{00000000-0008-0000-0B00-000095000000}"/>
            </a:ext>
          </a:extLst>
        </xdr:cNvPr>
        <xdr:cNvSpPr>
          <a:spLocks noChangeArrowheads="1"/>
        </xdr:cNvSpPr>
      </xdr:nvSpPr>
      <xdr:spPr>
        <a:xfrm>
          <a:off x="7610475" y="18938875"/>
          <a:ext cx="180975" cy="152400"/>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9</a:t>
          </a:r>
        </a:p>
      </xdr:txBody>
    </xdr:sp>
    <xdr:clientData/>
  </xdr:twoCellAnchor>
  <xdr:twoCellAnchor>
    <xdr:from>
      <xdr:col>7</xdr:col>
      <xdr:colOff>38100</xdr:colOff>
      <xdr:row>139</xdr:row>
      <xdr:rowOff>41275</xdr:rowOff>
    </xdr:from>
    <xdr:to>
      <xdr:col>7</xdr:col>
      <xdr:colOff>219075</xdr:colOff>
      <xdr:row>140</xdr:row>
      <xdr:rowOff>31927</xdr:rowOff>
    </xdr:to>
    <xdr:sp macro="" textlink="">
      <xdr:nvSpPr>
        <xdr:cNvPr id="152" name="Rectangle 221">
          <a:extLst>
            <a:ext uri="{FF2B5EF4-FFF2-40B4-BE49-F238E27FC236}">
              <a16:creationId xmlns:a16="http://schemas.microsoft.com/office/drawing/2014/main" id="{00000000-0008-0000-0B00-000098000000}"/>
            </a:ext>
          </a:extLst>
        </xdr:cNvPr>
        <xdr:cNvSpPr>
          <a:spLocks noChangeArrowheads="1"/>
        </xdr:cNvSpPr>
      </xdr:nvSpPr>
      <xdr:spPr>
        <a:xfrm>
          <a:off x="3943350" y="19119850"/>
          <a:ext cx="161925" cy="190500"/>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7</a:t>
          </a:r>
        </a:p>
      </xdr:txBody>
    </xdr:sp>
    <xdr:clientData/>
  </xdr:twoCellAnchor>
  <xdr:twoCellAnchor>
    <xdr:from>
      <xdr:col>10</xdr:col>
      <xdr:colOff>57150</xdr:colOff>
      <xdr:row>136</xdr:row>
      <xdr:rowOff>19050</xdr:rowOff>
    </xdr:from>
    <xdr:to>
      <xdr:col>10</xdr:col>
      <xdr:colOff>200025</xdr:colOff>
      <xdr:row>136</xdr:row>
      <xdr:rowOff>133350</xdr:rowOff>
    </xdr:to>
    <xdr:sp macro="" textlink="">
      <xdr:nvSpPr>
        <xdr:cNvPr id="153" name="Rectangle 222">
          <a:extLst>
            <a:ext uri="{FF2B5EF4-FFF2-40B4-BE49-F238E27FC236}">
              <a16:creationId xmlns:a16="http://schemas.microsoft.com/office/drawing/2014/main" id="{00000000-0008-0000-0B00-000099000000}"/>
            </a:ext>
          </a:extLst>
        </xdr:cNvPr>
        <xdr:cNvSpPr>
          <a:spLocks noChangeArrowheads="1"/>
        </xdr:cNvSpPr>
      </xdr:nvSpPr>
      <xdr:spPr>
        <a:xfrm>
          <a:off x="4476750" y="18611850"/>
          <a:ext cx="142875" cy="114300"/>
        </a:xfrm>
        <a:prstGeom prst="rect">
          <a:avLst/>
        </a:prstGeom>
        <a:solidFill>
          <a:srgbClr val="FFFFFF"/>
        </a:solidFill>
        <a:ln w="9525">
          <a:solidFill>
            <a:srgbClr val="000000"/>
          </a:solidFill>
          <a:miter lim="800000"/>
        </a:ln>
      </xdr:spPr>
    </xdr:sp>
    <xdr:clientData/>
  </xdr:twoCellAnchor>
  <xdr:twoCellAnchor>
    <xdr:from>
      <xdr:col>10</xdr:col>
      <xdr:colOff>57150</xdr:colOff>
      <xdr:row>137</xdr:row>
      <xdr:rowOff>22225</xdr:rowOff>
    </xdr:from>
    <xdr:to>
      <xdr:col>10</xdr:col>
      <xdr:colOff>200025</xdr:colOff>
      <xdr:row>137</xdr:row>
      <xdr:rowOff>146050</xdr:rowOff>
    </xdr:to>
    <xdr:sp macro="" textlink="">
      <xdr:nvSpPr>
        <xdr:cNvPr id="154" name="Rectangle 223">
          <a:extLst>
            <a:ext uri="{FF2B5EF4-FFF2-40B4-BE49-F238E27FC236}">
              <a16:creationId xmlns:a16="http://schemas.microsoft.com/office/drawing/2014/main" id="{00000000-0008-0000-0B00-00009A000000}"/>
            </a:ext>
          </a:extLst>
        </xdr:cNvPr>
        <xdr:cNvSpPr>
          <a:spLocks noChangeArrowheads="1"/>
        </xdr:cNvSpPr>
      </xdr:nvSpPr>
      <xdr:spPr>
        <a:xfrm>
          <a:off x="4476750" y="18776950"/>
          <a:ext cx="142875" cy="12382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x</a:t>
          </a:r>
        </a:p>
      </xdr:txBody>
    </xdr:sp>
    <xdr:clientData/>
  </xdr:twoCellAnchor>
  <xdr:twoCellAnchor>
    <xdr:from>
      <xdr:col>10</xdr:col>
      <xdr:colOff>57150</xdr:colOff>
      <xdr:row>138</xdr:row>
      <xdr:rowOff>19050</xdr:rowOff>
    </xdr:from>
    <xdr:to>
      <xdr:col>10</xdr:col>
      <xdr:colOff>200025</xdr:colOff>
      <xdr:row>138</xdr:row>
      <xdr:rowOff>133350</xdr:rowOff>
    </xdr:to>
    <xdr:sp macro="" textlink="">
      <xdr:nvSpPr>
        <xdr:cNvPr id="155" name="Rectangle 224">
          <a:extLst>
            <a:ext uri="{FF2B5EF4-FFF2-40B4-BE49-F238E27FC236}">
              <a16:creationId xmlns:a16="http://schemas.microsoft.com/office/drawing/2014/main" id="{00000000-0008-0000-0B00-00009B000000}"/>
            </a:ext>
          </a:extLst>
        </xdr:cNvPr>
        <xdr:cNvSpPr>
          <a:spLocks noChangeArrowheads="1"/>
        </xdr:cNvSpPr>
      </xdr:nvSpPr>
      <xdr:spPr>
        <a:xfrm>
          <a:off x="4476750" y="18935700"/>
          <a:ext cx="142875" cy="114300"/>
        </a:xfrm>
        <a:prstGeom prst="rect">
          <a:avLst/>
        </a:prstGeom>
        <a:solidFill>
          <a:srgbClr val="FFFFFF"/>
        </a:solidFill>
        <a:ln w="9525">
          <a:solidFill>
            <a:srgbClr val="000000"/>
          </a:solidFill>
          <a:miter lim="800000"/>
        </a:ln>
      </xdr:spPr>
    </xdr:sp>
    <xdr:clientData/>
  </xdr:twoCellAnchor>
  <xdr:twoCellAnchor>
    <xdr:from>
      <xdr:col>0</xdr:col>
      <xdr:colOff>0</xdr:colOff>
      <xdr:row>154</xdr:row>
      <xdr:rowOff>0</xdr:rowOff>
    </xdr:from>
    <xdr:to>
      <xdr:col>2</xdr:col>
      <xdr:colOff>381000</xdr:colOff>
      <xdr:row>155</xdr:row>
      <xdr:rowOff>95250</xdr:rowOff>
    </xdr:to>
    <xdr:sp macro="" textlink="">
      <xdr:nvSpPr>
        <xdr:cNvPr id="159" name="Rectangle 228">
          <a:extLst>
            <a:ext uri="{FF2B5EF4-FFF2-40B4-BE49-F238E27FC236}">
              <a16:creationId xmlns:a16="http://schemas.microsoft.com/office/drawing/2014/main" id="{00000000-0008-0000-0B00-00009F000000}"/>
            </a:ext>
          </a:extLst>
        </xdr:cNvPr>
        <xdr:cNvSpPr>
          <a:spLocks noChangeArrowheads="1"/>
        </xdr:cNvSpPr>
      </xdr:nvSpPr>
      <xdr:spPr>
        <a:xfrm>
          <a:off x="0" y="21488400"/>
          <a:ext cx="15621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APPLICABLE PERIOD</a:t>
          </a:r>
        </a:p>
      </xdr:txBody>
    </xdr:sp>
    <xdr:clientData/>
  </xdr:twoCellAnchor>
  <xdr:twoCellAnchor>
    <xdr:from>
      <xdr:col>2</xdr:col>
      <xdr:colOff>371475</xdr:colOff>
      <xdr:row>154</xdr:row>
      <xdr:rowOff>0</xdr:rowOff>
    </xdr:from>
    <xdr:to>
      <xdr:col>2</xdr:col>
      <xdr:colOff>1009650</xdr:colOff>
      <xdr:row>155</xdr:row>
      <xdr:rowOff>95250</xdr:rowOff>
    </xdr:to>
    <xdr:sp macro="" textlink="">
      <xdr:nvSpPr>
        <xdr:cNvPr id="160" name="Rectangle 229">
          <a:extLst>
            <a:ext uri="{FF2B5EF4-FFF2-40B4-BE49-F238E27FC236}">
              <a16:creationId xmlns:a16="http://schemas.microsoft.com/office/drawing/2014/main" id="{00000000-0008-0000-0B00-0000A0000000}"/>
            </a:ext>
          </a:extLst>
        </xdr:cNvPr>
        <xdr:cNvSpPr>
          <a:spLocks noChangeArrowheads="1"/>
        </xdr:cNvSpPr>
      </xdr:nvSpPr>
      <xdr:spPr>
        <a:xfrm>
          <a:off x="1552575" y="21488400"/>
          <a:ext cx="52387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REMITTED</a:t>
          </a:r>
        </a:p>
        <a:p>
          <a:pPr algn="ctr" rtl="1">
            <a:defRPr sz="1000"/>
          </a:pPr>
          <a:r>
            <a:rPr lang="en-US" sz="500" b="0" i="0" strike="noStrike">
              <a:solidFill>
                <a:srgbClr val="000000"/>
              </a:solidFill>
              <a:latin typeface="Arial Narrow" panose="020B0606020202030204"/>
            </a:rPr>
            <a:t>AMOUNT</a:t>
          </a:r>
        </a:p>
      </xdr:txBody>
    </xdr:sp>
    <xdr:clientData/>
  </xdr:twoCellAnchor>
  <xdr:twoCellAnchor>
    <xdr:from>
      <xdr:col>3</xdr:col>
      <xdr:colOff>914400</xdr:colOff>
      <xdr:row>154</xdr:row>
      <xdr:rowOff>0</xdr:rowOff>
    </xdr:from>
    <xdr:to>
      <xdr:col>5</xdr:col>
      <xdr:colOff>447675</xdr:colOff>
      <xdr:row>155</xdr:row>
      <xdr:rowOff>95250</xdr:rowOff>
    </xdr:to>
    <xdr:sp macro="" textlink="">
      <xdr:nvSpPr>
        <xdr:cNvPr id="161" name="Rectangle 230">
          <a:extLst>
            <a:ext uri="{FF2B5EF4-FFF2-40B4-BE49-F238E27FC236}">
              <a16:creationId xmlns:a16="http://schemas.microsoft.com/office/drawing/2014/main" id="{00000000-0008-0000-0B00-0000A1000000}"/>
            </a:ext>
          </a:extLst>
        </xdr:cNvPr>
        <xdr:cNvSpPr>
          <a:spLocks noChangeArrowheads="1"/>
        </xdr:cNvSpPr>
      </xdr:nvSpPr>
      <xdr:spPr>
        <a:xfrm>
          <a:off x="2990850" y="21488400"/>
          <a:ext cx="66675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TRANSACTION</a:t>
          </a:r>
        </a:p>
        <a:p>
          <a:pPr algn="ctr" rtl="1">
            <a:defRPr sz="1000"/>
          </a:pPr>
          <a:r>
            <a:rPr lang="en-US" sz="500" b="0" i="0" strike="noStrike">
              <a:solidFill>
                <a:srgbClr val="000000"/>
              </a:solidFill>
              <a:latin typeface="Arial Narrow" panose="020B0606020202030204"/>
            </a:rPr>
            <a:t>DATE</a:t>
          </a:r>
        </a:p>
      </xdr:txBody>
    </xdr:sp>
    <xdr:clientData/>
  </xdr:twoCellAnchor>
  <xdr:twoCellAnchor>
    <xdr:from>
      <xdr:col>5</xdr:col>
      <xdr:colOff>419100</xdr:colOff>
      <xdr:row>154</xdr:row>
      <xdr:rowOff>0</xdr:rowOff>
    </xdr:from>
    <xdr:to>
      <xdr:col>6</xdr:col>
      <xdr:colOff>0</xdr:colOff>
      <xdr:row>155</xdr:row>
      <xdr:rowOff>95250</xdr:rowOff>
    </xdr:to>
    <xdr:sp macro="" textlink="">
      <xdr:nvSpPr>
        <xdr:cNvPr id="162" name="Rectangle 231">
          <a:extLst>
            <a:ext uri="{FF2B5EF4-FFF2-40B4-BE49-F238E27FC236}">
              <a16:creationId xmlns:a16="http://schemas.microsoft.com/office/drawing/2014/main" id="{00000000-0008-0000-0B00-0000A2000000}"/>
            </a:ext>
          </a:extLst>
        </xdr:cNvPr>
        <xdr:cNvSpPr>
          <a:spLocks noChangeArrowheads="1"/>
        </xdr:cNvSpPr>
      </xdr:nvSpPr>
      <xdr:spPr>
        <a:xfrm>
          <a:off x="3629025" y="21488400"/>
          <a:ext cx="27622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NO. OF</a:t>
          </a:r>
        </a:p>
        <a:p>
          <a:pPr algn="ctr" rtl="1">
            <a:defRPr sz="1000"/>
          </a:pPr>
          <a:r>
            <a:rPr lang="en-US" sz="500" b="0" i="0" strike="noStrike">
              <a:solidFill>
                <a:srgbClr val="000000"/>
              </a:solidFill>
              <a:latin typeface="Arial Narrow" panose="020B0606020202030204"/>
            </a:rPr>
            <a:t>EMPLOUYEES</a:t>
          </a:r>
        </a:p>
      </xdr:txBody>
    </xdr:sp>
    <xdr:clientData/>
  </xdr:twoCellAnchor>
  <xdr:twoCellAnchor>
    <xdr:from>
      <xdr:col>2</xdr:col>
      <xdr:colOff>1000125</xdr:colOff>
      <xdr:row>154</xdr:row>
      <xdr:rowOff>0</xdr:rowOff>
    </xdr:from>
    <xdr:to>
      <xdr:col>3</xdr:col>
      <xdr:colOff>914400</xdr:colOff>
      <xdr:row>155</xdr:row>
      <xdr:rowOff>95250</xdr:rowOff>
    </xdr:to>
    <xdr:sp macro="" textlink="">
      <xdr:nvSpPr>
        <xdr:cNvPr id="163" name="Rectangle 232">
          <a:extLst>
            <a:ext uri="{FF2B5EF4-FFF2-40B4-BE49-F238E27FC236}">
              <a16:creationId xmlns:a16="http://schemas.microsoft.com/office/drawing/2014/main" id="{00000000-0008-0000-0B00-0000A3000000}"/>
            </a:ext>
          </a:extLst>
        </xdr:cNvPr>
        <xdr:cNvSpPr>
          <a:spLocks noChangeArrowheads="1"/>
        </xdr:cNvSpPr>
      </xdr:nvSpPr>
      <xdr:spPr>
        <a:xfrm>
          <a:off x="2076450" y="21488400"/>
          <a:ext cx="9144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ACKNOWLEDGEMENT</a:t>
          </a:r>
        </a:p>
        <a:p>
          <a:pPr algn="ctr" rtl="1">
            <a:defRPr sz="1000"/>
          </a:pPr>
          <a:r>
            <a:rPr lang="en-US" sz="500" b="0" i="0" strike="noStrike">
              <a:solidFill>
                <a:srgbClr val="000000"/>
              </a:solidFill>
              <a:latin typeface="Arial Narrow" panose="020B0606020202030204"/>
            </a:rPr>
            <a:t>RECEIPT NO.</a:t>
          </a:r>
        </a:p>
      </xdr:txBody>
    </xdr:sp>
    <xdr:clientData/>
  </xdr:twoCellAnchor>
  <xdr:twoCellAnchor>
    <xdr:from>
      <xdr:col>0</xdr:col>
      <xdr:colOff>0</xdr:colOff>
      <xdr:row>155</xdr:row>
      <xdr:rowOff>95250</xdr:rowOff>
    </xdr:from>
    <xdr:to>
      <xdr:col>2</xdr:col>
      <xdr:colOff>381000</xdr:colOff>
      <xdr:row>158</xdr:row>
      <xdr:rowOff>0</xdr:rowOff>
    </xdr:to>
    <xdr:sp macro="" textlink="">
      <xdr:nvSpPr>
        <xdr:cNvPr id="164" name="Rectangle 233">
          <a:extLst>
            <a:ext uri="{FF2B5EF4-FFF2-40B4-BE49-F238E27FC236}">
              <a16:creationId xmlns:a16="http://schemas.microsoft.com/office/drawing/2014/main" id="{00000000-0008-0000-0B00-0000A4000000}"/>
            </a:ext>
          </a:extLst>
        </xdr:cNvPr>
        <xdr:cNvSpPr>
          <a:spLocks noChangeArrowheads="1"/>
        </xdr:cNvSpPr>
      </xdr:nvSpPr>
      <xdr:spPr>
        <a:xfrm>
          <a:off x="0" y="21745575"/>
          <a:ext cx="1562100" cy="390525"/>
        </a:xfrm>
        <a:prstGeom prst="rect">
          <a:avLst/>
        </a:prstGeom>
        <a:solidFill>
          <a:srgbClr val="FFFFFF"/>
        </a:solidFill>
        <a:ln w="9525">
          <a:solidFill>
            <a:srgbClr val="000000"/>
          </a:solidFill>
          <a:miter lim="800000"/>
        </a:ln>
      </xdr:spPr>
    </xdr:sp>
    <xdr:clientData/>
  </xdr:twoCellAnchor>
  <xdr:twoCellAnchor>
    <xdr:from>
      <xdr:col>2</xdr:col>
      <xdr:colOff>371475</xdr:colOff>
      <xdr:row>155</xdr:row>
      <xdr:rowOff>95250</xdr:rowOff>
    </xdr:from>
    <xdr:to>
      <xdr:col>2</xdr:col>
      <xdr:colOff>1009650</xdr:colOff>
      <xdr:row>158</xdr:row>
      <xdr:rowOff>0</xdr:rowOff>
    </xdr:to>
    <xdr:sp macro="" textlink="">
      <xdr:nvSpPr>
        <xdr:cNvPr id="165" name="Rectangle 234">
          <a:extLst>
            <a:ext uri="{FF2B5EF4-FFF2-40B4-BE49-F238E27FC236}">
              <a16:creationId xmlns:a16="http://schemas.microsoft.com/office/drawing/2014/main" id="{00000000-0008-0000-0B00-0000A5000000}"/>
            </a:ext>
          </a:extLst>
        </xdr:cNvPr>
        <xdr:cNvSpPr>
          <a:spLocks noChangeArrowheads="1"/>
        </xdr:cNvSpPr>
      </xdr:nvSpPr>
      <xdr:spPr>
        <a:xfrm>
          <a:off x="1552575" y="21745575"/>
          <a:ext cx="523875" cy="390525"/>
        </a:xfrm>
        <a:prstGeom prst="rect">
          <a:avLst/>
        </a:prstGeom>
        <a:solidFill>
          <a:srgbClr val="FFFFFF"/>
        </a:solidFill>
        <a:ln w="9525">
          <a:solidFill>
            <a:srgbClr val="000000"/>
          </a:solidFill>
          <a:miter lim="800000"/>
        </a:ln>
      </xdr:spPr>
    </xdr:sp>
    <xdr:clientData/>
  </xdr:twoCellAnchor>
  <xdr:twoCellAnchor>
    <xdr:from>
      <xdr:col>3</xdr:col>
      <xdr:colOff>914400</xdr:colOff>
      <xdr:row>155</xdr:row>
      <xdr:rowOff>95250</xdr:rowOff>
    </xdr:from>
    <xdr:to>
      <xdr:col>5</xdr:col>
      <xdr:colOff>447675</xdr:colOff>
      <xdr:row>158</xdr:row>
      <xdr:rowOff>0</xdr:rowOff>
    </xdr:to>
    <xdr:sp macro="" textlink="">
      <xdr:nvSpPr>
        <xdr:cNvPr id="166" name="Rectangle 235">
          <a:extLst>
            <a:ext uri="{FF2B5EF4-FFF2-40B4-BE49-F238E27FC236}">
              <a16:creationId xmlns:a16="http://schemas.microsoft.com/office/drawing/2014/main" id="{00000000-0008-0000-0B00-0000A6000000}"/>
            </a:ext>
          </a:extLst>
        </xdr:cNvPr>
        <xdr:cNvSpPr>
          <a:spLocks noChangeArrowheads="1"/>
        </xdr:cNvSpPr>
      </xdr:nvSpPr>
      <xdr:spPr>
        <a:xfrm>
          <a:off x="2990850" y="21745575"/>
          <a:ext cx="666750" cy="390525"/>
        </a:xfrm>
        <a:prstGeom prst="rect">
          <a:avLst/>
        </a:prstGeom>
        <a:solidFill>
          <a:srgbClr val="FFFFFF"/>
        </a:solidFill>
        <a:ln w="9525">
          <a:solidFill>
            <a:srgbClr val="000000"/>
          </a:solidFill>
          <a:miter lim="800000"/>
        </a:ln>
      </xdr:spPr>
    </xdr:sp>
    <xdr:clientData/>
  </xdr:twoCellAnchor>
  <xdr:twoCellAnchor>
    <xdr:from>
      <xdr:col>5</xdr:col>
      <xdr:colOff>447675</xdr:colOff>
      <xdr:row>155</xdr:row>
      <xdr:rowOff>114300</xdr:rowOff>
    </xdr:from>
    <xdr:to>
      <xdr:col>7</xdr:col>
      <xdr:colOff>28575</xdr:colOff>
      <xdr:row>158</xdr:row>
      <xdr:rowOff>19050</xdr:rowOff>
    </xdr:to>
    <xdr:sp macro="" textlink="">
      <xdr:nvSpPr>
        <xdr:cNvPr id="167" name="Rectangle 236">
          <a:extLst>
            <a:ext uri="{FF2B5EF4-FFF2-40B4-BE49-F238E27FC236}">
              <a16:creationId xmlns:a16="http://schemas.microsoft.com/office/drawing/2014/main" id="{00000000-0008-0000-0B00-0000A7000000}"/>
            </a:ext>
          </a:extLst>
        </xdr:cNvPr>
        <xdr:cNvSpPr>
          <a:spLocks noChangeArrowheads="1"/>
        </xdr:cNvSpPr>
      </xdr:nvSpPr>
      <xdr:spPr>
        <a:xfrm>
          <a:off x="3657600" y="21764625"/>
          <a:ext cx="276225" cy="390525"/>
        </a:xfrm>
        <a:prstGeom prst="rect">
          <a:avLst/>
        </a:prstGeom>
        <a:solidFill>
          <a:srgbClr val="FFFFFF"/>
        </a:solidFill>
        <a:ln w="9525">
          <a:solidFill>
            <a:srgbClr val="000000"/>
          </a:solidFill>
          <a:miter lim="800000"/>
        </a:ln>
      </xdr:spPr>
    </xdr:sp>
    <xdr:clientData/>
  </xdr:twoCellAnchor>
  <xdr:twoCellAnchor>
    <xdr:from>
      <xdr:col>2</xdr:col>
      <xdr:colOff>1000125</xdr:colOff>
      <xdr:row>155</xdr:row>
      <xdr:rowOff>95250</xdr:rowOff>
    </xdr:from>
    <xdr:to>
      <xdr:col>3</xdr:col>
      <xdr:colOff>914400</xdr:colOff>
      <xdr:row>158</xdr:row>
      <xdr:rowOff>0</xdr:rowOff>
    </xdr:to>
    <xdr:sp macro="" textlink="">
      <xdr:nvSpPr>
        <xdr:cNvPr id="168" name="Rectangle 237">
          <a:extLst>
            <a:ext uri="{FF2B5EF4-FFF2-40B4-BE49-F238E27FC236}">
              <a16:creationId xmlns:a16="http://schemas.microsoft.com/office/drawing/2014/main" id="{00000000-0008-0000-0B00-0000A8000000}"/>
            </a:ext>
          </a:extLst>
        </xdr:cNvPr>
        <xdr:cNvSpPr>
          <a:spLocks noChangeArrowheads="1"/>
        </xdr:cNvSpPr>
      </xdr:nvSpPr>
      <xdr:spPr>
        <a:xfrm>
          <a:off x="2076450" y="21745575"/>
          <a:ext cx="914400" cy="390525"/>
        </a:xfrm>
        <a:prstGeom prst="rect">
          <a:avLst/>
        </a:prstGeom>
        <a:solidFill>
          <a:srgbClr val="FFFFFF"/>
        </a:solidFill>
        <a:ln w="9525">
          <a:solidFill>
            <a:srgbClr val="000000"/>
          </a:solidFill>
          <a:miter lim="800000"/>
        </a:ln>
      </xdr:spPr>
    </xdr:sp>
    <xdr:clientData/>
  </xdr:twoCellAnchor>
  <xdr:twoCellAnchor>
    <xdr:from>
      <xdr:col>7</xdr:col>
      <xdr:colOff>0</xdr:colOff>
      <xdr:row>151</xdr:row>
      <xdr:rowOff>0</xdr:rowOff>
    </xdr:from>
    <xdr:to>
      <xdr:col>22</xdr:col>
      <xdr:colOff>0</xdr:colOff>
      <xdr:row>152</xdr:row>
      <xdr:rowOff>76200</xdr:rowOff>
    </xdr:to>
    <xdr:sp macro="" textlink="">
      <xdr:nvSpPr>
        <xdr:cNvPr id="169" name="Rectangle 238">
          <a:extLst>
            <a:ext uri="{FF2B5EF4-FFF2-40B4-BE49-F238E27FC236}">
              <a16:creationId xmlns:a16="http://schemas.microsoft.com/office/drawing/2014/main" id="{00000000-0008-0000-0B00-0000A9000000}"/>
            </a:ext>
          </a:extLst>
        </xdr:cNvPr>
        <xdr:cNvSpPr>
          <a:spLocks noChangeArrowheads="1"/>
        </xdr:cNvSpPr>
      </xdr:nvSpPr>
      <xdr:spPr>
        <a:xfrm>
          <a:off x="3905250" y="21002625"/>
          <a:ext cx="3590925" cy="238125"/>
        </a:xfrm>
        <a:prstGeom prst="rect">
          <a:avLst/>
        </a:prstGeom>
        <a:solidFill>
          <a:srgbClr val="FFFFFF"/>
        </a:solidFill>
        <a:ln w="9525">
          <a:solidFill>
            <a:srgbClr val="000000"/>
          </a:solidFill>
          <a:miter lim="800000"/>
        </a:ln>
      </xdr:spPr>
    </xdr:sp>
    <xdr:clientData/>
  </xdr:twoCellAnchor>
  <xdr:twoCellAnchor>
    <xdr:from>
      <xdr:col>7</xdr:col>
      <xdr:colOff>22412</xdr:colOff>
      <xdr:row>152</xdr:row>
      <xdr:rowOff>123264</xdr:rowOff>
    </xdr:from>
    <xdr:to>
      <xdr:col>22</xdr:col>
      <xdr:colOff>0</xdr:colOff>
      <xdr:row>155</xdr:row>
      <xdr:rowOff>0</xdr:rowOff>
    </xdr:to>
    <xdr:sp macro="" textlink="">
      <xdr:nvSpPr>
        <xdr:cNvPr id="170" name="Rectangle 239">
          <a:extLst>
            <a:ext uri="{FF2B5EF4-FFF2-40B4-BE49-F238E27FC236}">
              <a16:creationId xmlns:a16="http://schemas.microsoft.com/office/drawing/2014/main" id="{00000000-0008-0000-0B00-0000AA000000}"/>
            </a:ext>
          </a:extLst>
        </xdr:cNvPr>
        <xdr:cNvSpPr>
          <a:spLocks noChangeArrowheads="1"/>
        </xdr:cNvSpPr>
      </xdr:nvSpPr>
      <xdr:spPr>
        <a:xfrm>
          <a:off x="3927475" y="21287740"/>
          <a:ext cx="3590925" cy="362585"/>
        </a:xfrm>
        <a:prstGeom prst="rect">
          <a:avLst/>
        </a:prstGeom>
        <a:solidFill>
          <a:srgbClr val="FFFFFF"/>
        </a:solidFill>
        <a:ln w="9525">
          <a:solidFill>
            <a:srgbClr val="000000"/>
          </a:solidFill>
          <a:miter lim="800000"/>
        </a:ln>
      </xdr:spPr>
    </xdr:sp>
    <xdr:clientData/>
  </xdr:twoCellAnchor>
  <xdr:twoCellAnchor>
    <xdr:from>
      <xdr:col>7</xdr:col>
      <xdr:colOff>28575</xdr:colOff>
      <xdr:row>153</xdr:row>
      <xdr:rowOff>41275</xdr:rowOff>
    </xdr:from>
    <xdr:to>
      <xdr:col>7</xdr:col>
      <xdr:colOff>209550</xdr:colOff>
      <xdr:row>154</xdr:row>
      <xdr:rowOff>37978</xdr:rowOff>
    </xdr:to>
    <xdr:sp macro="" textlink="">
      <xdr:nvSpPr>
        <xdr:cNvPr id="171" name="Rectangle 242">
          <a:extLst>
            <a:ext uri="{FF2B5EF4-FFF2-40B4-BE49-F238E27FC236}">
              <a16:creationId xmlns:a16="http://schemas.microsoft.com/office/drawing/2014/main" id="{00000000-0008-0000-0B00-0000AB000000}"/>
            </a:ext>
          </a:extLst>
        </xdr:cNvPr>
        <xdr:cNvSpPr>
          <a:spLocks noChangeArrowheads="1"/>
        </xdr:cNvSpPr>
      </xdr:nvSpPr>
      <xdr:spPr>
        <a:xfrm>
          <a:off x="3933825" y="21367750"/>
          <a:ext cx="171450" cy="15811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12</a:t>
          </a:r>
        </a:p>
      </xdr:txBody>
    </xdr:sp>
    <xdr:clientData/>
  </xdr:twoCellAnchor>
  <xdr:twoCellAnchor>
    <xdr:from>
      <xdr:col>0</xdr:col>
      <xdr:colOff>19050</xdr:colOff>
      <xdr:row>147</xdr:row>
      <xdr:rowOff>0</xdr:rowOff>
    </xdr:from>
    <xdr:to>
      <xdr:col>2</xdr:col>
      <xdr:colOff>28575</xdr:colOff>
      <xdr:row>153</xdr:row>
      <xdr:rowOff>136102</xdr:rowOff>
    </xdr:to>
    <xdr:sp macro="" textlink="">
      <xdr:nvSpPr>
        <xdr:cNvPr id="172" name="Rectangle 243">
          <a:extLst>
            <a:ext uri="{FF2B5EF4-FFF2-40B4-BE49-F238E27FC236}">
              <a16:creationId xmlns:a16="http://schemas.microsoft.com/office/drawing/2014/main" id="{00000000-0008-0000-0B00-0000AC000000}"/>
            </a:ext>
          </a:extLst>
        </xdr:cNvPr>
        <xdr:cNvSpPr>
          <a:spLocks noChangeArrowheads="1"/>
        </xdr:cNvSpPr>
      </xdr:nvSpPr>
      <xdr:spPr>
        <a:xfrm>
          <a:off x="19050" y="20354925"/>
          <a:ext cx="1190625" cy="1107440"/>
        </a:xfrm>
        <a:prstGeom prst="rect">
          <a:avLst/>
        </a:prstGeom>
        <a:noFill/>
        <a:ln w="9525">
          <a:noFill/>
          <a:miter lim="800000"/>
        </a:ln>
      </xdr:spPr>
      <xdr:txBody>
        <a:bodyPr vertOverflow="clip" wrap="square" lIns="27432" tIns="22860" rIns="27432" bIns="0" anchor="t" upright="1"/>
        <a:lstStyle/>
        <a:p>
          <a:pPr algn="ctr" rtl="1">
            <a:defRPr sz="1000"/>
          </a:pPr>
          <a:endParaRPr lang="en-US" sz="1000" b="0" i="0" strike="noStrike">
            <a:solidFill>
              <a:srgbClr val="000000"/>
            </a:solidFill>
            <a:latin typeface="Arial" panose="020B0604020202020204"/>
            <a:cs typeface="Arial" panose="020B0604020202020204"/>
          </a:endParaRPr>
        </a:p>
      </xdr:txBody>
    </xdr:sp>
    <xdr:clientData/>
  </xdr:twoCellAnchor>
  <xdr:twoCellAnchor>
    <xdr:from>
      <xdr:col>8</xdr:col>
      <xdr:colOff>152400</xdr:colOff>
      <xdr:row>153</xdr:row>
      <xdr:rowOff>50800</xdr:rowOff>
    </xdr:from>
    <xdr:to>
      <xdr:col>13</xdr:col>
      <xdr:colOff>66675</xdr:colOff>
      <xdr:row>154</xdr:row>
      <xdr:rowOff>47503</xdr:rowOff>
    </xdr:to>
    <xdr:sp macro="" textlink="">
      <xdr:nvSpPr>
        <xdr:cNvPr id="173" name="Rectangle 244">
          <a:extLst>
            <a:ext uri="{FF2B5EF4-FFF2-40B4-BE49-F238E27FC236}">
              <a16:creationId xmlns:a16="http://schemas.microsoft.com/office/drawing/2014/main" id="{00000000-0008-0000-0B00-0000AD000000}"/>
            </a:ext>
          </a:extLst>
        </xdr:cNvPr>
        <xdr:cNvSpPr>
          <a:spLocks noChangeArrowheads="1"/>
        </xdr:cNvSpPr>
      </xdr:nvSpPr>
      <xdr:spPr>
        <a:xfrm>
          <a:off x="4257675" y="21377275"/>
          <a:ext cx="857250" cy="15811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SUBTOTAL</a:t>
          </a:r>
        </a:p>
      </xdr:txBody>
    </xdr:sp>
    <xdr:clientData/>
  </xdr:twoCellAnchor>
  <xdr:twoCellAnchor>
    <xdr:from>
      <xdr:col>17</xdr:col>
      <xdr:colOff>161925</xdr:colOff>
      <xdr:row>151</xdr:row>
      <xdr:rowOff>0</xdr:rowOff>
    </xdr:from>
    <xdr:to>
      <xdr:col>20</xdr:col>
      <xdr:colOff>200025</xdr:colOff>
      <xdr:row>151</xdr:row>
      <xdr:rowOff>47503</xdr:rowOff>
    </xdr:to>
    <xdr:sp macro="" textlink="">
      <xdr:nvSpPr>
        <xdr:cNvPr id="174" name="Rectangle 245">
          <a:extLst>
            <a:ext uri="{FF2B5EF4-FFF2-40B4-BE49-F238E27FC236}">
              <a16:creationId xmlns:a16="http://schemas.microsoft.com/office/drawing/2014/main" id="{00000000-0008-0000-0B00-0000AE000000}"/>
            </a:ext>
          </a:extLst>
        </xdr:cNvPr>
        <xdr:cNvSpPr>
          <a:spLocks noChangeArrowheads="1"/>
        </xdr:cNvSpPr>
      </xdr:nvSpPr>
      <xdr:spPr>
        <a:xfrm>
          <a:off x="6019800" y="21002625"/>
          <a:ext cx="752475" cy="4699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57150</xdr:colOff>
      <xdr:row>154</xdr:row>
      <xdr:rowOff>47625</xdr:rowOff>
    </xdr:from>
    <xdr:to>
      <xdr:col>16</xdr:col>
      <xdr:colOff>219075</xdr:colOff>
      <xdr:row>155</xdr:row>
      <xdr:rowOff>85725</xdr:rowOff>
    </xdr:to>
    <xdr:sp macro="" textlink="">
      <xdr:nvSpPr>
        <xdr:cNvPr id="175" name="Rectangle 246">
          <a:extLst>
            <a:ext uri="{FF2B5EF4-FFF2-40B4-BE49-F238E27FC236}">
              <a16:creationId xmlns:a16="http://schemas.microsoft.com/office/drawing/2014/main" id="{00000000-0008-0000-0B00-0000AF000000}"/>
            </a:ext>
          </a:extLst>
        </xdr:cNvPr>
        <xdr:cNvSpPr>
          <a:spLocks noChangeArrowheads="1"/>
        </xdr:cNvSpPr>
      </xdr:nvSpPr>
      <xdr:spPr>
        <a:xfrm>
          <a:off x="4162425" y="21536025"/>
          <a:ext cx="1695450"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every page)</a:t>
          </a:r>
        </a:p>
      </xdr:txBody>
    </xdr:sp>
    <xdr:clientData/>
  </xdr:twoCellAnchor>
  <xdr:twoCellAnchor>
    <xdr:from>
      <xdr:col>20</xdr:col>
      <xdr:colOff>57150</xdr:colOff>
      <xdr:row>151</xdr:row>
      <xdr:rowOff>95250</xdr:rowOff>
    </xdr:from>
    <xdr:to>
      <xdr:col>21</xdr:col>
      <xdr:colOff>219075</xdr:colOff>
      <xdr:row>151</xdr:row>
      <xdr:rowOff>95250</xdr:rowOff>
    </xdr:to>
    <xdr:sp macro="" textlink="">
      <xdr:nvSpPr>
        <xdr:cNvPr id="176" name="Line 247">
          <a:extLst>
            <a:ext uri="{FF2B5EF4-FFF2-40B4-BE49-F238E27FC236}">
              <a16:creationId xmlns:a16="http://schemas.microsoft.com/office/drawing/2014/main" id="{00000000-0008-0000-0B00-0000B0000000}"/>
            </a:ext>
          </a:extLst>
        </xdr:cNvPr>
        <xdr:cNvSpPr>
          <a:spLocks noChangeShapeType="1"/>
        </xdr:cNvSpPr>
      </xdr:nvSpPr>
      <xdr:spPr>
        <a:xfrm>
          <a:off x="6772275" y="21097875"/>
          <a:ext cx="180975" cy="0"/>
        </a:xfrm>
        <a:prstGeom prst="line">
          <a:avLst/>
        </a:prstGeom>
        <a:noFill/>
        <a:ln w="38100">
          <a:solidFill>
            <a:srgbClr val="000000"/>
          </a:solidFill>
          <a:round/>
          <a:tailEnd type="triangle" w="med" len="med"/>
        </a:ln>
      </xdr:spPr>
    </xdr:sp>
    <xdr:clientData/>
  </xdr:twoCellAnchor>
  <xdr:twoCellAnchor>
    <xdr:from>
      <xdr:col>9</xdr:col>
      <xdr:colOff>9525</xdr:colOff>
      <xdr:row>155</xdr:row>
      <xdr:rowOff>114300</xdr:rowOff>
    </xdr:from>
    <xdr:to>
      <xdr:col>13</xdr:col>
      <xdr:colOff>152400</xdr:colOff>
      <xdr:row>156</xdr:row>
      <xdr:rowOff>117642</xdr:rowOff>
    </xdr:to>
    <xdr:sp macro="" textlink="">
      <xdr:nvSpPr>
        <xdr:cNvPr id="177" name="Rectangle 248">
          <a:extLst>
            <a:ext uri="{FF2B5EF4-FFF2-40B4-BE49-F238E27FC236}">
              <a16:creationId xmlns:a16="http://schemas.microsoft.com/office/drawing/2014/main" id="{00000000-0008-0000-0B00-0000B1000000}"/>
            </a:ext>
          </a:extLst>
        </xdr:cNvPr>
        <xdr:cNvSpPr>
          <a:spLocks noChangeArrowheads="1"/>
        </xdr:cNvSpPr>
      </xdr:nvSpPr>
      <xdr:spPr>
        <a:xfrm>
          <a:off x="4333875" y="21764625"/>
          <a:ext cx="866775"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GRAND TOTAL</a:t>
          </a:r>
        </a:p>
      </xdr:txBody>
    </xdr:sp>
    <xdr:clientData/>
  </xdr:twoCellAnchor>
  <xdr:twoCellAnchor>
    <xdr:from>
      <xdr:col>17</xdr:col>
      <xdr:colOff>152400</xdr:colOff>
      <xdr:row>152</xdr:row>
      <xdr:rowOff>114300</xdr:rowOff>
    </xdr:from>
    <xdr:to>
      <xdr:col>20</xdr:col>
      <xdr:colOff>190500</xdr:colOff>
      <xdr:row>153</xdr:row>
      <xdr:rowOff>117642</xdr:rowOff>
    </xdr:to>
    <xdr:sp macro="" textlink="">
      <xdr:nvSpPr>
        <xdr:cNvPr id="178" name="Rectangle 249">
          <a:extLst>
            <a:ext uri="{FF2B5EF4-FFF2-40B4-BE49-F238E27FC236}">
              <a16:creationId xmlns:a16="http://schemas.microsoft.com/office/drawing/2014/main" id="{00000000-0008-0000-0B00-0000B2000000}"/>
            </a:ext>
          </a:extLst>
        </xdr:cNvPr>
        <xdr:cNvSpPr>
          <a:spLocks noChangeArrowheads="1"/>
        </xdr:cNvSpPr>
      </xdr:nvSpPr>
      <xdr:spPr>
        <a:xfrm>
          <a:off x="6010275" y="21278850"/>
          <a:ext cx="762000"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76200</xdr:colOff>
      <xdr:row>156</xdr:row>
      <xdr:rowOff>117475</xdr:rowOff>
    </xdr:from>
    <xdr:to>
      <xdr:col>17</xdr:col>
      <xdr:colOff>9525</xdr:colOff>
      <xdr:row>157</xdr:row>
      <xdr:rowOff>155575</xdr:rowOff>
    </xdr:to>
    <xdr:sp macro="" textlink="">
      <xdr:nvSpPr>
        <xdr:cNvPr id="179" name="Rectangle 250">
          <a:extLst>
            <a:ext uri="{FF2B5EF4-FFF2-40B4-BE49-F238E27FC236}">
              <a16:creationId xmlns:a16="http://schemas.microsoft.com/office/drawing/2014/main" id="{00000000-0008-0000-0B00-0000B3000000}"/>
            </a:ext>
          </a:extLst>
        </xdr:cNvPr>
        <xdr:cNvSpPr>
          <a:spLocks noChangeArrowheads="1"/>
        </xdr:cNvSpPr>
      </xdr:nvSpPr>
      <xdr:spPr>
        <a:xfrm>
          <a:off x="4181475" y="21929725"/>
          <a:ext cx="1685925"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the last page)</a:t>
          </a:r>
        </a:p>
      </xdr:txBody>
    </xdr:sp>
    <xdr:clientData/>
  </xdr:twoCellAnchor>
  <xdr:twoCellAnchor>
    <xdr:from>
      <xdr:col>20</xdr:col>
      <xdr:colOff>47625</xdr:colOff>
      <xdr:row>154</xdr:row>
      <xdr:rowOff>0</xdr:rowOff>
    </xdr:from>
    <xdr:to>
      <xdr:col>21</xdr:col>
      <xdr:colOff>209550</xdr:colOff>
      <xdr:row>154</xdr:row>
      <xdr:rowOff>0</xdr:rowOff>
    </xdr:to>
    <xdr:sp macro="" textlink="">
      <xdr:nvSpPr>
        <xdr:cNvPr id="180" name="Line 251">
          <a:extLst>
            <a:ext uri="{FF2B5EF4-FFF2-40B4-BE49-F238E27FC236}">
              <a16:creationId xmlns:a16="http://schemas.microsoft.com/office/drawing/2014/main" id="{00000000-0008-0000-0B00-0000B4000000}"/>
            </a:ext>
          </a:extLst>
        </xdr:cNvPr>
        <xdr:cNvSpPr>
          <a:spLocks noChangeShapeType="1"/>
        </xdr:cNvSpPr>
      </xdr:nvSpPr>
      <xdr:spPr>
        <a:xfrm>
          <a:off x="6772275" y="21488400"/>
          <a:ext cx="180975" cy="0"/>
        </a:xfrm>
        <a:prstGeom prst="line">
          <a:avLst/>
        </a:prstGeom>
        <a:noFill/>
        <a:ln w="38100">
          <a:solidFill>
            <a:srgbClr val="000000"/>
          </a:solidFill>
          <a:round/>
          <a:tailEnd type="triangle" w="med" len="med"/>
        </a:ln>
      </xdr:spPr>
    </xdr:sp>
    <xdr:clientData/>
  </xdr:twoCellAnchor>
  <xdr:twoCellAnchor>
    <xdr:from>
      <xdr:col>3</xdr:col>
      <xdr:colOff>0</xdr:colOff>
      <xdr:row>129</xdr:row>
      <xdr:rowOff>0</xdr:rowOff>
    </xdr:from>
    <xdr:to>
      <xdr:col>3</xdr:col>
      <xdr:colOff>180975</xdr:colOff>
      <xdr:row>130</xdr:row>
      <xdr:rowOff>0</xdr:rowOff>
    </xdr:to>
    <xdr:sp macro="" textlink="">
      <xdr:nvSpPr>
        <xdr:cNvPr id="181" name="Rectangle 253">
          <a:extLst>
            <a:ext uri="{FF2B5EF4-FFF2-40B4-BE49-F238E27FC236}">
              <a16:creationId xmlns:a16="http://schemas.microsoft.com/office/drawing/2014/main" id="{00000000-0008-0000-0B00-0000B5000000}"/>
            </a:ext>
          </a:extLst>
        </xdr:cNvPr>
        <xdr:cNvSpPr>
          <a:spLocks noChangeArrowheads="1"/>
        </xdr:cNvSpPr>
      </xdr:nvSpPr>
      <xdr:spPr>
        <a:xfrm>
          <a:off x="2076450" y="17449800"/>
          <a:ext cx="180975" cy="161925"/>
        </a:xfrm>
        <a:prstGeom prst="rect">
          <a:avLst/>
        </a:prstGeom>
        <a:solidFill>
          <a:srgbClr val="FFFFFF"/>
        </a:solidFill>
        <a:ln w="9525">
          <a:solidFill>
            <a:srgbClr val="000000"/>
          </a:solidFill>
          <a:miter lim="800000"/>
        </a:ln>
      </xdr:spPr>
    </xdr:sp>
    <xdr:clientData/>
  </xdr:twoCellAnchor>
  <xdr:twoCellAnchor>
    <xdr:from>
      <xdr:col>3</xdr:col>
      <xdr:colOff>161925</xdr:colOff>
      <xdr:row>129</xdr:row>
      <xdr:rowOff>0</xdr:rowOff>
    </xdr:from>
    <xdr:to>
      <xdr:col>3</xdr:col>
      <xdr:colOff>342900</xdr:colOff>
      <xdr:row>130</xdr:row>
      <xdr:rowOff>0</xdr:rowOff>
    </xdr:to>
    <xdr:sp macro="" textlink="">
      <xdr:nvSpPr>
        <xdr:cNvPr id="182" name="Rectangle 254">
          <a:extLst>
            <a:ext uri="{FF2B5EF4-FFF2-40B4-BE49-F238E27FC236}">
              <a16:creationId xmlns:a16="http://schemas.microsoft.com/office/drawing/2014/main" id="{00000000-0008-0000-0B00-0000B6000000}"/>
            </a:ext>
          </a:extLst>
        </xdr:cNvPr>
        <xdr:cNvSpPr>
          <a:spLocks noChangeArrowheads="1"/>
        </xdr:cNvSpPr>
      </xdr:nvSpPr>
      <xdr:spPr>
        <a:xfrm>
          <a:off x="2238375" y="17449800"/>
          <a:ext cx="180975" cy="161925"/>
        </a:xfrm>
        <a:prstGeom prst="rect">
          <a:avLst/>
        </a:prstGeom>
        <a:solidFill>
          <a:srgbClr val="FFFFFF"/>
        </a:solidFill>
        <a:ln w="9525">
          <a:solidFill>
            <a:srgbClr val="000000"/>
          </a:solidFill>
          <a:miter lim="800000"/>
        </a:ln>
      </xdr:spPr>
    </xdr:sp>
    <xdr:clientData/>
  </xdr:twoCellAnchor>
  <xdr:twoCellAnchor>
    <xdr:from>
      <xdr:col>3</xdr:col>
      <xdr:colOff>542925</xdr:colOff>
      <xdr:row>129</xdr:row>
      <xdr:rowOff>0</xdr:rowOff>
    </xdr:from>
    <xdr:to>
      <xdr:col>3</xdr:col>
      <xdr:colOff>657225</xdr:colOff>
      <xdr:row>130</xdr:row>
      <xdr:rowOff>0</xdr:rowOff>
    </xdr:to>
    <xdr:sp macro="" textlink="">
      <xdr:nvSpPr>
        <xdr:cNvPr id="183" name="Rectangle 255">
          <a:extLst>
            <a:ext uri="{FF2B5EF4-FFF2-40B4-BE49-F238E27FC236}">
              <a16:creationId xmlns:a16="http://schemas.microsoft.com/office/drawing/2014/main" id="{00000000-0008-0000-0B00-0000B7000000}"/>
            </a:ext>
          </a:extLst>
        </xdr:cNvPr>
        <xdr:cNvSpPr>
          <a:spLocks noChangeArrowheads="1"/>
        </xdr:cNvSpPr>
      </xdr:nvSpPr>
      <xdr:spPr>
        <a:xfrm>
          <a:off x="2619375"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428625</xdr:colOff>
      <xdr:row>129</xdr:row>
      <xdr:rowOff>0</xdr:rowOff>
    </xdr:from>
    <xdr:to>
      <xdr:col>3</xdr:col>
      <xdr:colOff>542925</xdr:colOff>
      <xdr:row>130</xdr:row>
      <xdr:rowOff>0</xdr:rowOff>
    </xdr:to>
    <xdr:sp macro="" textlink="">
      <xdr:nvSpPr>
        <xdr:cNvPr id="184" name="Rectangle 256">
          <a:extLst>
            <a:ext uri="{FF2B5EF4-FFF2-40B4-BE49-F238E27FC236}">
              <a16:creationId xmlns:a16="http://schemas.microsoft.com/office/drawing/2014/main" id="{00000000-0008-0000-0B00-0000B8000000}"/>
            </a:ext>
          </a:extLst>
        </xdr:cNvPr>
        <xdr:cNvSpPr>
          <a:spLocks noChangeArrowheads="1"/>
        </xdr:cNvSpPr>
      </xdr:nvSpPr>
      <xdr:spPr>
        <a:xfrm>
          <a:off x="2505075"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771525</xdr:colOff>
      <xdr:row>129</xdr:row>
      <xdr:rowOff>0</xdr:rowOff>
    </xdr:from>
    <xdr:to>
      <xdr:col>3</xdr:col>
      <xdr:colOff>885825</xdr:colOff>
      <xdr:row>130</xdr:row>
      <xdr:rowOff>0</xdr:rowOff>
    </xdr:to>
    <xdr:sp macro="" textlink="">
      <xdr:nvSpPr>
        <xdr:cNvPr id="185" name="Rectangle 257">
          <a:extLst>
            <a:ext uri="{FF2B5EF4-FFF2-40B4-BE49-F238E27FC236}">
              <a16:creationId xmlns:a16="http://schemas.microsoft.com/office/drawing/2014/main" id="{00000000-0008-0000-0B00-0000B9000000}"/>
            </a:ext>
          </a:extLst>
        </xdr:cNvPr>
        <xdr:cNvSpPr>
          <a:spLocks noChangeArrowheads="1"/>
        </xdr:cNvSpPr>
      </xdr:nvSpPr>
      <xdr:spPr>
        <a:xfrm>
          <a:off x="2847975"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657225</xdr:colOff>
      <xdr:row>129</xdr:row>
      <xdr:rowOff>0</xdr:rowOff>
    </xdr:from>
    <xdr:to>
      <xdr:col>3</xdr:col>
      <xdr:colOff>771525</xdr:colOff>
      <xdr:row>130</xdr:row>
      <xdr:rowOff>0</xdr:rowOff>
    </xdr:to>
    <xdr:sp macro="" textlink="">
      <xdr:nvSpPr>
        <xdr:cNvPr id="186" name="Rectangle 258">
          <a:extLst>
            <a:ext uri="{FF2B5EF4-FFF2-40B4-BE49-F238E27FC236}">
              <a16:creationId xmlns:a16="http://schemas.microsoft.com/office/drawing/2014/main" id="{00000000-0008-0000-0B00-0000BA000000}"/>
            </a:ext>
          </a:extLst>
        </xdr:cNvPr>
        <xdr:cNvSpPr>
          <a:spLocks noChangeArrowheads="1"/>
        </xdr:cNvSpPr>
      </xdr:nvSpPr>
      <xdr:spPr>
        <a:xfrm>
          <a:off x="2733675"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990600</xdr:colOff>
      <xdr:row>129</xdr:row>
      <xdr:rowOff>0</xdr:rowOff>
    </xdr:from>
    <xdr:to>
      <xdr:col>3</xdr:col>
      <xdr:colOff>1104900</xdr:colOff>
      <xdr:row>130</xdr:row>
      <xdr:rowOff>0</xdr:rowOff>
    </xdr:to>
    <xdr:sp macro="" textlink="">
      <xdr:nvSpPr>
        <xdr:cNvPr id="187" name="Rectangle 259">
          <a:extLst>
            <a:ext uri="{FF2B5EF4-FFF2-40B4-BE49-F238E27FC236}">
              <a16:creationId xmlns:a16="http://schemas.microsoft.com/office/drawing/2014/main" id="{00000000-0008-0000-0B00-0000BB000000}"/>
            </a:ext>
          </a:extLst>
        </xdr:cNvPr>
        <xdr:cNvSpPr>
          <a:spLocks noChangeArrowheads="1"/>
        </xdr:cNvSpPr>
      </xdr:nvSpPr>
      <xdr:spPr>
        <a:xfrm>
          <a:off x="3067050"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876300</xdr:colOff>
      <xdr:row>129</xdr:row>
      <xdr:rowOff>0</xdr:rowOff>
    </xdr:from>
    <xdr:to>
      <xdr:col>3</xdr:col>
      <xdr:colOff>990600</xdr:colOff>
      <xdr:row>130</xdr:row>
      <xdr:rowOff>0</xdr:rowOff>
    </xdr:to>
    <xdr:sp macro="" textlink="">
      <xdr:nvSpPr>
        <xdr:cNvPr id="188" name="Rectangle 260">
          <a:extLst>
            <a:ext uri="{FF2B5EF4-FFF2-40B4-BE49-F238E27FC236}">
              <a16:creationId xmlns:a16="http://schemas.microsoft.com/office/drawing/2014/main" id="{00000000-0008-0000-0B00-0000BC000000}"/>
            </a:ext>
          </a:extLst>
        </xdr:cNvPr>
        <xdr:cNvSpPr>
          <a:spLocks noChangeArrowheads="1"/>
        </xdr:cNvSpPr>
      </xdr:nvSpPr>
      <xdr:spPr>
        <a:xfrm>
          <a:off x="2952750" y="17449800"/>
          <a:ext cx="114300" cy="161925"/>
        </a:xfrm>
        <a:prstGeom prst="rect">
          <a:avLst/>
        </a:prstGeom>
        <a:solidFill>
          <a:srgbClr val="FFFFFF"/>
        </a:solidFill>
        <a:ln w="9525">
          <a:solidFill>
            <a:srgbClr val="000000"/>
          </a:solidFill>
          <a:miter lim="800000"/>
        </a:ln>
      </xdr:spPr>
    </xdr:sp>
    <xdr:clientData/>
  </xdr:twoCellAnchor>
  <xdr:twoCellAnchor>
    <xdr:from>
      <xdr:col>5</xdr:col>
      <xdr:colOff>104775</xdr:colOff>
      <xdr:row>129</xdr:row>
      <xdr:rowOff>0</xdr:rowOff>
    </xdr:from>
    <xdr:to>
      <xdr:col>5</xdr:col>
      <xdr:colOff>219075</xdr:colOff>
      <xdr:row>130</xdr:row>
      <xdr:rowOff>0</xdr:rowOff>
    </xdr:to>
    <xdr:sp macro="" textlink="">
      <xdr:nvSpPr>
        <xdr:cNvPr id="189" name="Rectangle 261">
          <a:extLst>
            <a:ext uri="{FF2B5EF4-FFF2-40B4-BE49-F238E27FC236}">
              <a16:creationId xmlns:a16="http://schemas.microsoft.com/office/drawing/2014/main" id="{00000000-0008-0000-0B00-0000BD000000}"/>
            </a:ext>
          </a:extLst>
        </xdr:cNvPr>
        <xdr:cNvSpPr>
          <a:spLocks noChangeArrowheads="1"/>
        </xdr:cNvSpPr>
      </xdr:nvSpPr>
      <xdr:spPr>
        <a:xfrm>
          <a:off x="3314700"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1104900</xdr:colOff>
      <xdr:row>129</xdr:row>
      <xdr:rowOff>0</xdr:rowOff>
    </xdr:from>
    <xdr:to>
      <xdr:col>5</xdr:col>
      <xdr:colOff>104775</xdr:colOff>
      <xdr:row>130</xdr:row>
      <xdr:rowOff>0</xdr:rowOff>
    </xdr:to>
    <xdr:sp macro="" textlink="">
      <xdr:nvSpPr>
        <xdr:cNvPr id="190" name="Rectangle 262">
          <a:extLst>
            <a:ext uri="{FF2B5EF4-FFF2-40B4-BE49-F238E27FC236}">
              <a16:creationId xmlns:a16="http://schemas.microsoft.com/office/drawing/2014/main" id="{00000000-0008-0000-0B00-0000BE000000}"/>
            </a:ext>
          </a:extLst>
        </xdr:cNvPr>
        <xdr:cNvSpPr>
          <a:spLocks noChangeArrowheads="1"/>
        </xdr:cNvSpPr>
      </xdr:nvSpPr>
      <xdr:spPr>
        <a:xfrm>
          <a:off x="3181350" y="17449800"/>
          <a:ext cx="133350" cy="161925"/>
        </a:xfrm>
        <a:prstGeom prst="rect">
          <a:avLst/>
        </a:prstGeom>
        <a:solidFill>
          <a:srgbClr val="FFFFFF"/>
        </a:solidFill>
        <a:ln w="9525">
          <a:solidFill>
            <a:srgbClr val="000000"/>
          </a:solidFill>
          <a:miter lim="800000"/>
        </a:ln>
      </xdr:spPr>
    </xdr:sp>
    <xdr:clientData/>
  </xdr:twoCellAnchor>
  <xdr:twoCellAnchor>
    <xdr:from>
      <xdr:col>3</xdr:col>
      <xdr:colOff>428625</xdr:colOff>
      <xdr:row>130</xdr:row>
      <xdr:rowOff>34925</xdr:rowOff>
    </xdr:from>
    <xdr:to>
      <xdr:col>3</xdr:col>
      <xdr:colOff>542925</xdr:colOff>
      <xdr:row>131</xdr:row>
      <xdr:rowOff>161097</xdr:rowOff>
    </xdr:to>
    <xdr:sp macro="" textlink="">
      <xdr:nvSpPr>
        <xdr:cNvPr id="191" name="Rectangle 263">
          <a:extLst>
            <a:ext uri="{FF2B5EF4-FFF2-40B4-BE49-F238E27FC236}">
              <a16:creationId xmlns:a16="http://schemas.microsoft.com/office/drawing/2014/main" id="{00000000-0008-0000-0B00-0000BF000000}"/>
            </a:ext>
          </a:extLst>
        </xdr:cNvPr>
        <xdr:cNvSpPr>
          <a:spLocks noChangeArrowheads="1"/>
        </xdr:cNvSpPr>
      </xdr:nvSpPr>
      <xdr:spPr>
        <a:xfrm>
          <a:off x="2505075"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0</a:t>
          </a:r>
        </a:p>
      </xdr:txBody>
    </xdr:sp>
    <xdr:clientData/>
  </xdr:twoCellAnchor>
  <xdr:twoCellAnchor>
    <xdr:from>
      <xdr:col>5</xdr:col>
      <xdr:colOff>200025</xdr:colOff>
      <xdr:row>129</xdr:row>
      <xdr:rowOff>0</xdr:rowOff>
    </xdr:from>
    <xdr:to>
      <xdr:col>5</xdr:col>
      <xdr:colOff>314325</xdr:colOff>
      <xdr:row>130</xdr:row>
      <xdr:rowOff>0</xdr:rowOff>
    </xdr:to>
    <xdr:sp macro="" textlink="">
      <xdr:nvSpPr>
        <xdr:cNvPr id="192" name="Rectangle 264">
          <a:extLst>
            <a:ext uri="{FF2B5EF4-FFF2-40B4-BE49-F238E27FC236}">
              <a16:creationId xmlns:a16="http://schemas.microsoft.com/office/drawing/2014/main" id="{00000000-0008-0000-0B00-0000C0000000}"/>
            </a:ext>
          </a:extLst>
        </xdr:cNvPr>
        <xdr:cNvSpPr>
          <a:spLocks noChangeArrowheads="1"/>
        </xdr:cNvSpPr>
      </xdr:nvSpPr>
      <xdr:spPr>
        <a:xfrm>
          <a:off x="3409950" y="17449800"/>
          <a:ext cx="114300" cy="161925"/>
        </a:xfrm>
        <a:prstGeom prst="rect">
          <a:avLst/>
        </a:prstGeom>
        <a:solidFill>
          <a:srgbClr val="FFFFFF"/>
        </a:solidFill>
        <a:ln w="9525">
          <a:solidFill>
            <a:srgbClr val="000000"/>
          </a:solidFill>
          <a:miter lim="800000"/>
        </a:ln>
      </xdr:spPr>
    </xdr:sp>
    <xdr:clientData/>
  </xdr:twoCellAnchor>
  <xdr:twoCellAnchor>
    <xdr:from>
      <xdr:col>3</xdr:col>
      <xdr:colOff>657225</xdr:colOff>
      <xdr:row>130</xdr:row>
      <xdr:rowOff>34925</xdr:rowOff>
    </xdr:from>
    <xdr:to>
      <xdr:col>3</xdr:col>
      <xdr:colOff>771525</xdr:colOff>
      <xdr:row>131</xdr:row>
      <xdr:rowOff>161097</xdr:rowOff>
    </xdr:to>
    <xdr:sp macro="" textlink="">
      <xdr:nvSpPr>
        <xdr:cNvPr id="193" name="Rectangle 265">
          <a:extLst>
            <a:ext uri="{FF2B5EF4-FFF2-40B4-BE49-F238E27FC236}">
              <a16:creationId xmlns:a16="http://schemas.microsoft.com/office/drawing/2014/main" id="{00000000-0008-0000-0B00-0000C1000000}"/>
            </a:ext>
          </a:extLst>
        </xdr:cNvPr>
        <xdr:cNvSpPr>
          <a:spLocks noChangeArrowheads="1"/>
        </xdr:cNvSpPr>
      </xdr:nvSpPr>
      <xdr:spPr>
        <a:xfrm>
          <a:off x="2733675"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0</a:t>
          </a:r>
        </a:p>
      </xdr:txBody>
    </xdr:sp>
    <xdr:clientData/>
  </xdr:twoCellAnchor>
  <xdr:twoCellAnchor>
    <xdr:from>
      <xdr:col>3</xdr:col>
      <xdr:colOff>542925</xdr:colOff>
      <xdr:row>130</xdr:row>
      <xdr:rowOff>34925</xdr:rowOff>
    </xdr:from>
    <xdr:to>
      <xdr:col>3</xdr:col>
      <xdr:colOff>657225</xdr:colOff>
      <xdr:row>131</xdr:row>
      <xdr:rowOff>161097</xdr:rowOff>
    </xdr:to>
    <xdr:sp macro="" textlink="">
      <xdr:nvSpPr>
        <xdr:cNvPr id="194" name="Rectangle 266">
          <a:extLst>
            <a:ext uri="{FF2B5EF4-FFF2-40B4-BE49-F238E27FC236}">
              <a16:creationId xmlns:a16="http://schemas.microsoft.com/office/drawing/2014/main" id="{00000000-0008-0000-0B00-0000C2000000}"/>
            </a:ext>
          </a:extLst>
        </xdr:cNvPr>
        <xdr:cNvSpPr>
          <a:spLocks noChangeArrowheads="1"/>
        </xdr:cNvSpPr>
      </xdr:nvSpPr>
      <xdr:spPr>
        <a:xfrm>
          <a:off x="2619375"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0</a:t>
          </a:r>
        </a:p>
      </xdr:txBody>
    </xdr:sp>
    <xdr:clientData/>
  </xdr:twoCellAnchor>
  <xdr:twoCellAnchor>
    <xdr:from>
      <xdr:col>3</xdr:col>
      <xdr:colOff>866775</xdr:colOff>
      <xdr:row>130</xdr:row>
      <xdr:rowOff>34925</xdr:rowOff>
    </xdr:from>
    <xdr:to>
      <xdr:col>3</xdr:col>
      <xdr:colOff>981075</xdr:colOff>
      <xdr:row>131</xdr:row>
      <xdr:rowOff>161097</xdr:rowOff>
    </xdr:to>
    <xdr:sp macro="" textlink="">
      <xdr:nvSpPr>
        <xdr:cNvPr id="195" name="Rectangle 267">
          <a:extLst>
            <a:ext uri="{FF2B5EF4-FFF2-40B4-BE49-F238E27FC236}">
              <a16:creationId xmlns:a16="http://schemas.microsoft.com/office/drawing/2014/main" id="{00000000-0008-0000-0B00-0000C3000000}"/>
            </a:ext>
          </a:extLst>
        </xdr:cNvPr>
        <xdr:cNvSpPr>
          <a:spLocks noChangeArrowheads="1"/>
        </xdr:cNvSpPr>
      </xdr:nvSpPr>
      <xdr:spPr>
        <a:xfrm>
          <a:off x="2943225"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0</a:t>
          </a:r>
        </a:p>
      </xdr:txBody>
    </xdr:sp>
    <xdr:clientData/>
  </xdr:twoCellAnchor>
  <xdr:twoCellAnchor>
    <xdr:from>
      <xdr:col>3</xdr:col>
      <xdr:colOff>1095375</xdr:colOff>
      <xdr:row>130</xdr:row>
      <xdr:rowOff>34925</xdr:rowOff>
    </xdr:from>
    <xdr:to>
      <xdr:col>5</xdr:col>
      <xdr:colOff>95250</xdr:colOff>
      <xdr:row>131</xdr:row>
      <xdr:rowOff>161097</xdr:rowOff>
    </xdr:to>
    <xdr:sp macro="" textlink="">
      <xdr:nvSpPr>
        <xdr:cNvPr id="196" name="Rectangle 268">
          <a:extLst>
            <a:ext uri="{FF2B5EF4-FFF2-40B4-BE49-F238E27FC236}">
              <a16:creationId xmlns:a16="http://schemas.microsoft.com/office/drawing/2014/main" id="{00000000-0008-0000-0B00-0000C4000000}"/>
            </a:ext>
          </a:extLst>
        </xdr:cNvPr>
        <xdr:cNvSpPr>
          <a:spLocks noChangeArrowheads="1"/>
        </xdr:cNvSpPr>
      </xdr:nvSpPr>
      <xdr:spPr>
        <a:xfrm>
          <a:off x="3171825" y="17646650"/>
          <a:ext cx="13335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4</a:t>
          </a:r>
        </a:p>
      </xdr:txBody>
    </xdr:sp>
    <xdr:clientData/>
  </xdr:twoCellAnchor>
  <xdr:twoCellAnchor>
    <xdr:from>
      <xdr:col>3</xdr:col>
      <xdr:colOff>981075</xdr:colOff>
      <xdr:row>130</xdr:row>
      <xdr:rowOff>34925</xdr:rowOff>
    </xdr:from>
    <xdr:to>
      <xdr:col>3</xdr:col>
      <xdr:colOff>1095375</xdr:colOff>
      <xdr:row>131</xdr:row>
      <xdr:rowOff>161097</xdr:rowOff>
    </xdr:to>
    <xdr:sp macro="" textlink="">
      <xdr:nvSpPr>
        <xdr:cNvPr id="197" name="Rectangle 269">
          <a:extLst>
            <a:ext uri="{FF2B5EF4-FFF2-40B4-BE49-F238E27FC236}">
              <a16:creationId xmlns:a16="http://schemas.microsoft.com/office/drawing/2014/main" id="{00000000-0008-0000-0B00-0000C5000000}"/>
            </a:ext>
          </a:extLst>
        </xdr:cNvPr>
        <xdr:cNvSpPr>
          <a:spLocks noChangeArrowheads="1"/>
        </xdr:cNvSpPr>
      </xdr:nvSpPr>
      <xdr:spPr>
        <a:xfrm>
          <a:off x="3057525"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5</a:t>
          </a:r>
        </a:p>
      </xdr:txBody>
    </xdr:sp>
    <xdr:clientData/>
  </xdr:twoCellAnchor>
  <xdr:twoCellAnchor>
    <xdr:from>
      <xdr:col>5</xdr:col>
      <xdr:colOff>200025</xdr:colOff>
      <xdr:row>130</xdr:row>
      <xdr:rowOff>34925</xdr:rowOff>
    </xdr:from>
    <xdr:to>
      <xdr:col>5</xdr:col>
      <xdr:colOff>314325</xdr:colOff>
      <xdr:row>131</xdr:row>
      <xdr:rowOff>161097</xdr:rowOff>
    </xdr:to>
    <xdr:sp macro="" textlink="">
      <xdr:nvSpPr>
        <xdr:cNvPr id="198" name="Rectangle 270">
          <a:extLst>
            <a:ext uri="{FF2B5EF4-FFF2-40B4-BE49-F238E27FC236}">
              <a16:creationId xmlns:a16="http://schemas.microsoft.com/office/drawing/2014/main" id="{00000000-0008-0000-0B00-0000C6000000}"/>
            </a:ext>
          </a:extLst>
        </xdr:cNvPr>
        <xdr:cNvSpPr>
          <a:spLocks noChangeArrowheads="1"/>
        </xdr:cNvSpPr>
      </xdr:nvSpPr>
      <xdr:spPr>
        <a:xfrm>
          <a:off x="34099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a:t>
          </a:r>
        </a:p>
      </xdr:txBody>
    </xdr:sp>
    <xdr:clientData/>
  </xdr:twoCellAnchor>
  <xdr:twoCellAnchor>
    <xdr:from>
      <xdr:col>5</xdr:col>
      <xdr:colOff>428625</xdr:colOff>
      <xdr:row>130</xdr:row>
      <xdr:rowOff>34925</xdr:rowOff>
    </xdr:from>
    <xdr:to>
      <xdr:col>5</xdr:col>
      <xdr:colOff>542925</xdr:colOff>
      <xdr:row>131</xdr:row>
      <xdr:rowOff>161097</xdr:rowOff>
    </xdr:to>
    <xdr:sp macro="" textlink="">
      <xdr:nvSpPr>
        <xdr:cNvPr id="199" name="Rectangle 271">
          <a:extLst>
            <a:ext uri="{FF2B5EF4-FFF2-40B4-BE49-F238E27FC236}">
              <a16:creationId xmlns:a16="http://schemas.microsoft.com/office/drawing/2014/main" id="{00000000-0008-0000-0B00-0000C7000000}"/>
            </a:ext>
          </a:extLst>
        </xdr:cNvPr>
        <xdr:cNvSpPr>
          <a:spLocks noChangeArrowheads="1"/>
        </xdr:cNvSpPr>
      </xdr:nvSpPr>
      <xdr:spPr>
        <a:xfrm>
          <a:off x="36385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0</a:t>
          </a:r>
        </a:p>
      </xdr:txBody>
    </xdr:sp>
    <xdr:clientData/>
  </xdr:twoCellAnchor>
  <xdr:twoCellAnchor>
    <xdr:from>
      <xdr:col>5</xdr:col>
      <xdr:colOff>314325</xdr:colOff>
      <xdr:row>130</xdr:row>
      <xdr:rowOff>34925</xdr:rowOff>
    </xdr:from>
    <xdr:to>
      <xdr:col>5</xdr:col>
      <xdr:colOff>428625</xdr:colOff>
      <xdr:row>131</xdr:row>
      <xdr:rowOff>161097</xdr:rowOff>
    </xdr:to>
    <xdr:sp macro="" textlink="">
      <xdr:nvSpPr>
        <xdr:cNvPr id="200" name="Rectangle 272">
          <a:extLst>
            <a:ext uri="{FF2B5EF4-FFF2-40B4-BE49-F238E27FC236}">
              <a16:creationId xmlns:a16="http://schemas.microsoft.com/office/drawing/2014/main" id="{00000000-0008-0000-0B00-0000C8000000}"/>
            </a:ext>
          </a:extLst>
        </xdr:cNvPr>
        <xdr:cNvSpPr>
          <a:spLocks noChangeArrowheads="1"/>
        </xdr:cNvSpPr>
      </xdr:nvSpPr>
      <xdr:spPr>
        <a:xfrm>
          <a:off x="35242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3</a:t>
          </a:r>
        </a:p>
      </xdr:txBody>
    </xdr:sp>
    <xdr:clientData/>
  </xdr:twoCellAnchor>
  <xdr:twoCellAnchor>
    <xdr:from>
      <xdr:col>3</xdr:col>
      <xdr:colOff>0</xdr:colOff>
      <xdr:row>131</xdr:row>
      <xdr:rowOff>0</xdr:rowOff>
    </xdr:from>
    <xdr:to>
      <xdr:col>3</xdr:col>
      <xdr:colOff>114300</xdr:colOff>
      <xdr:row>132</xdr:row>
      <xdr:rowOff>0</xdr:rowOff>
    </xdr:to>
    <xdr:sp macro="" textlink="">
      <xdr:nvSpPr>
        <xdr:cNvPr id="201" name="Rectangle 273">
          <a:extLst>
            <a:ext uri="{FF2B5EF4-FFF2-40B4-BE49-F238E27FC236}">
              <a16:creationId xmlns:a16="http://schemas.microsoft.com/office/drawing/2014/main" id="{00000000-0008-0000-0B00-0000C9000000}"/>
            </a:ext>
          </a:extLst>
        </xdr:cNvPr>
        <xdr:cNvSpPr>
          <a:spLocks noChangeArrowheads="1"/>
        </xdr:cNvSpPr>
      </xdr:nvSpPr>
      <xdr:spPr>
        <a:xfrm>
          <a:off x="2076450" y="17773650"/>
          <a:ext cx="114300" cy="171450"/>
        </a:xfrm>
        <a:prstGeom prst="rect">
          <a:avLst/>
        </a:prstGeom>
        <a:solidFill>
          <a:srgbClr val="FFFFFF"/>
        </a:solidFill>
        <a:ln w="9525">
          <a:solidFill>
            <a:srgbClr val="000000"/>
          </a:solidFill>
          <a:miter lim="800000"/>
        </a:ln>
      </xdr:spPr>
    </xdr:sp>
    <xdr:clientData/>
  </xdr:twoCellAnchor>
  <xdr:twoCellAnchor>
    <xdr:from>
      <xdr:col>3</xdr:col>
      <xdr:colOff>228600</xdr:colOff>
      <xdr:row>130</xdr:row>
      <xdr:rowOff>34925</xdr:rowOff>
    </xdr:from>
    <xdr:to>
      <xdr:col>3</xdr:col>
      <xdr:colOff>342900</xdr:colOff>
      <xdr:row>131</xdr:row>
      <xdr:rowOff>161097</xdr:rowOff>
    </xdr:to>
    <xdr:sp macro="" textlink="">
      <xdr:nvSpPr>
        <xdr:cNvPr id="202" name="Rectangle 274">
          <a:extLst>
            <a:ext uri="{FF2B5EF4-FFF2-40B4-BE49-F238E27FC236}">
              <a16:creationId xmlns:a16="http://schemas.microsoft.com/office/drawing/2014/main" id="{00000000-0008-0000-0B00-0000CA000000}"/>
            </a:ext>
          </a:extLst>
        </xdr:cNvPr>
        <xdr:cNvSpPr>
          <a:spLocks noChangeArrowheads="1"/>
        </xdr:cNvSpPr>
      </xdr:nvSpPr>
      <xdr:spPr>
        <a:xfrm>
          <a:off x="23050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4</a:t>
          </a:r>
        </a:p>
      </xdr:txBody>
    </xdr:sp>
    <xdr:clientData/>
  </xdr:twoCellAnchor>
  <xdr:twoCellAnchor>
    <xdr:from>
      <xdr:col>3</xdr:col>
      <xdr:colOff>114300</xdr:colOff>
      <xdr:row>130</xdr:row>
      <xdr:rowOff>34925</xdr:rowOff>
    </xdr:from>
    <xdr:to>
      <xdr:col>3</xdr:col>
      <xdr:colOff>228600</xdr:colOff>
      <xdr:row>131</xdr:row>
      <xdr:rowOff>161097</xdr:rowOff>
    </xdr:to>
    <xdr:sp macro="" textlink="">
      <xdr:nvSpPr>
        <xdr:cNvPr id="203" name="Rectangle 275">
          <a:extLst>
            <a:ext uri="{FF2B5EF4-FFF2-40B4-BE49-F238E27FC236}">
              <a16:creationId xmlns:a16="http://schemas.microsoft.com/office/drawing/2014/main" id="{00000000-0008-0000-0B00-0000CB000000}"/>
            </a:ext>
          </a:extLst>
        </xdr:cNvPr>
        <xdr:cNvSpPr>
          <a:spLocks noChangeArrowheads="1"/>
        </xdr:cNvSpPr>
      </xdr:nvSpPr>
      <xdr:spPr>
        <a:xfrm>
          <a:off x="21907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4</a:t>
          </a:r>
        </a:p>
      </xdr:txBody>
    </xdr:sp>
    <xdr:clientData/>
  </xdr:twoCellAnchor>
  <xdr:twoCellAnchor>
    <xdr:from>
      <xdr:col>5</xdr:col>
      <xdr:colOff>542925</xdr:colOff>
      <xdr:row>130</xdr:row>
      <xdr:rowOff>34925</xdr:rowOff>
    </xdr:from>
    <xdr:to>
      <xdr:col>5</xdr:col>
      <xdr:colOff>657225</xdr:colOff>
      <xdr:row>131</xdr:row>
      <xdr:rowOff>161097</xdr:rowOff>
    </xdr:to>
    <xdr:sp macro="" textlink="">
      <xdr:nvSpPr>
        <xdr:cNvPr id="204" name="Rectangle 276">
          <a:extLst>
            <a:ext uri="{FF2B5EF4-FFF2-40B4-BE49-F238E27FC236}">
              <a16:creationId xmlns:a16="http://schemas.microsoft.com/office/drawing/2014/main" id="{00000000-0008-0000-0B00-0000CC000000}"/>
            </a:ext>
          </a:extLst>
        </xdr:cNvPr>
        <xdr:cNvSpPr>
          <a:spLocks noChangeArrowheads="1"/>
        </xdr:cNvSpPr>
      </xdr:nvSpPr>
      <xdr:spPr>
        <a:xfrm>
          <a:off x="3752850" y="17646650"/>
          <a:ext cx="114300" cy="28765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3</a:t>
          </a:r>
        </a:p>
      </xdr:txBody>
    </xdr:sp>
    <xdr:clientData/>
  </xdr:twoCellAnchor>
  <xdr:twoCellAnchor>
    <xdr:from>
      <xdr:col>2</xdr:col>
      <xdr:colOff>314325</xdr:colOff>
      <xdr:row>163</xdr:row>
      <xdr:rowOff>85725</xdr:rowOff>
    </xdr:from>
    <xdr:to>
      <xdr:col>2</xdr:col>
      <xdr:colOff>847725</xdr:colOff>
      <xdr:row>165</xdr:row>
      <xdr:rowOff>0</xdr:rowOff>
    </xdr:to>
    <xdr:sp macro="" textlink="">
      <xdr:nvSpPr>
        <xdr:cNvPr id="206" name="WordArt 212">
          <a:extLst>
            <a:ext uri="{FF2B5EF4-FFF2-40B4-BE49-F238E27FC236}">
              <a16:creationId xmlns:a16="http://schemas.microsoft.com/office/drawing/2014/main" id="{00000000-0008-0000-0B00-0000CE000000}"/>
            </a:ext>
          </a:extLst>
        </xdr:cNvPr>
        <xdr:cNvSpPr>
          <a:spLocks noChangeArrowheads="1" noChangeShapeType="1" noTextEdit="1"/>
        </xdr:cNvSpPr>
      </xdr:nvSpPr>
      <xdr:spPr>
        <a:xfrm>
          <a:off x="1495425" y="23145750"/>
          <a:ext cx="533400" cy="238125"/>
        </a:xfrm>
        <a:prstGeom prst="rect">
          <a:avLst/>
        </a:prstGeom>
      </xdr:spPr>
      <xdr:txBody>
        <a:bodyPr wrap="none" fromWordArt="1">
          <a:prstTxWarp prst="textPlain">
            <a:avLst>
              <a:gd name="adj" fmla="val 50000"/>
            </a:avLst>
          </a:prstTxWarp>
        </a:bodyPr>
        <a:lstStyle/>
        <a:p>
          <a:pPr algn="ctr" rtl="0"/>
          <a:endParaRPr lang="en-US" sz="3600" kern="10" spc="0">
            <a:ln w="9525">
              <a:solidFill>
                <a:srgbClr val="000000"/>
              </a:solidFill>
              <a:round/>
            </a:ln>
            <a:solidFill>
              <a:srgbClr val="000000"/>
            </a:solidFill>
            <a:effectLst/>
            <a:latin typeface="Arial Black" panose="020B0A04020102020204"/>
          </a:endParaRPr>
        </a:p>
      </xdr:txBody>
    </xdr:sp>
    <xdr:clientData/>
  </xdr:twoCellAnchor>
  <xdr:twoCellAnchor>
    <xdr:from>
      <xdr:col>0</xdr:col>
      <xdr:colOff>19050</xdr:colOff>
      <xdr:row>194</xdr:row>
      <xdr:rowOff>158750</xdr:rowOff>
    </xdr:from>
    <xdr:to>
      <xdr:col>2</xdr:col>
      <xdr:colOff>28575</xdr:colOff>
      <xdr:row>195</xdr:row>
      <xdr:rowOff>136102</xdr:rowOff>
    </xdr:to>
    <xdr:sp macro="" textlink="">
      <xdr:nvSpPr>
        <xdr:cNvPr id="207" name="Rectangle 243">
          <a:extLst>
            <a:ext uri="{FF2B5EF4-FFF2-40B4-BE49-F238E27FC236}">
              <a16:creationId xmlns:a16="http://schemas.microsoft.com/office/drawing/2014/main" id="{00000000-0008-0000-0B00-0000CF000000}"/>
            </a:ext>
          </a:extLst>
        </xdr:cNvPr>
        <xdr:cNvSpPr>
          <a:spLocks noChangeArrowheads="1"/>
        </xdr:cNvSpPr>
      </xdr:nvSpPr>
      <xdr:spPr>
        <a:xfrm>
          <a:off x="19050" y="28276550"/>
          <a:ext cx="1190625" cy="139065"/>
        </a:xfrm>
        <a:prstGeom prst="rect">
          <a:avLst/>
        </a:prstGeom>
        <a:noFill/>
        <a:ln w="9525">
          <a:noFill/>
          <a:miter lim="800000"/>
        </a:ln>
      </xdr:spPr>
      <xdr:txBody>
        <a:bodyPr vertOverflow="clip" wrap="square" lIns="27432" tIns="22860" rIns="27432" bIns="0" anchor="t" upright="1"/>
        <a:lstStyle/>
        <a:p>
          <a:pPr algn="ctr" rtl="1">
            <a:defRPr sz="1000"/>
          </a:pPr>
          <a:endParaRPr lang="en-US" sz="1000" b="0" i="0" strike="noStrike">
            <a:solidFill>
              <a:srgbClr val="000000"/>
            </a:solidFill>
            <a:latin typeface="Arial" panose="020B0604020202020204"/>
            <a:cs typeface="Arial" panose="020B0604020202020204"/>
          </a:endParaRPr>
        </a:p>
      </xdr:txBody>
    </xdr:sp>
    <xdr:clientData/>
  </xdr:twoCellAnchor>
  <xdr:twoCellAnchor>
    <xdr:from>
      <xdr:col>8</xdr:col>
      <xdr:colOff>152400</xdr:colOff>
      <xdr:row>195</xdr:row>
      <xdr:rowOff>50800</xdr:rowOff>
    </xdr:from>
    <xdr:to>
      <xdr:col>13</xdr:col>
      <xdr:colOff>66675</xdr:colOff>
      <xdr:row>196</xdr:row>
      <xdr:rowOff>47503</xdr:rowOff>
    </xdr:to>
    <xdr:sp macro="" textlink="">
      <xdr:nvSpPr>
        <xdr:cNvPr id="208" name="Rectangle 244">
          <a:extLst>
            <a:ext uri="{FF2B5EF4-FFF2-40B4-BE49-F238E27FC236}">
              <a16:creationId xmlns:a16="http://schemas.microsoft.com/office/drawing/2014/main" id="{00000000-0008-0000-0B00-0000D0000000}"/>
            </a:ext>
          </a:extLst>
        </xdr:cNvPr>
        <xdr:cNvSpPr>
          <a:spLocks noChangeArrowheads="1"/>
        </xdr:cNvSpPr>
      </xdr:nvSpPr>
      <xdr:spPr>
        <a:xfrm>
          <a:off x="4257675" y="28330525"/>
          <a:ext cx="857250" cy="158115"/>
        </a:xfrm>
        <a:prstGeom prst="rect">
          <a:avLst/>
        </a:prstGeom>
        <a:noFill/>
        <a:ln w="9525">
          <a:noFill/>
          <a:miter lim="800000"/>
        </a:ln>
      </xdr:spPr>
      <xdr:txBody>
        <a:bodyPr vertOverflow="clip" wrap="square" lIns="27432" tIns="22860" rIns="27432" bIns="0" anchor="t" upright="1"/>
        <a:lstStyle/>
        <a:p>
          <a:pPr algn="ctr" rtl="1">
            <a:defRPr sz="1000"/>
          </a:pPr>
          <a:endParaRPr lang="en-US" sz="1000" b="0" i="0" strike="noStrike">
            <a:solidFill>
              <a:srgbClr val="000000"/>
            </a:solidFill>
            <a:latin typeface="Arial Narrow" panose="020B0606020202030204"/>
          </a:endParaRPr>
        </a:p>
      </xdr:txBody>
    </xdr:sp>
    <xdr:clientData/>
  </xdr:twoCellAnchor>
  <xdr:twoCellAnchor>
    <xdr:from>
      <xdr:col>8</xdr:col>
      <xdr:colOff>57150</xdr:colOff>
      <xdr:row>196</xdr:row>
      <xdr:rowOff>47625</xdr:rowOff>
    </xdr:from>
    <xdr:to>
      <xdr:col>16</xdr:col>
      <xdr:colOff>219075</xdr:colOff>
      <xdr:row>197</xdr:row>
      <xdr:rowOff>85725</xdr:rowOff>
    </xdr:to>
    <xdr:sp macro="" textlink="">
      <xdr:nvSpPr>
        <xdr:cNvPr id="209" name="Rectangle 246">
          <a:extLst>
            <a:ext uri="{FF2B5EF4-FFF2-40B4-BE49-F238E27FC236}">
              <a16:creationId xmlns:a16="http://schemas.microsoft.com/office/drawing/2014/main" id="{00000000-0008-0000-0B00-0000D1000000}"/>
            </a:ext>
          </a:extLst>
        </xdr:cNvPr>
        <xdr:cNvSpPr>
          <a:spLocks noChangeArrowheads="1"/>
        </xdr:cNvSpPr>
      </xdr:nvSpPr>
      <xdr:spPr>
        <a:xfrm>
          <a:off x="4162425" y="28489275"/>
          <a:ext cx="1695450" cy="200025"/>
        </a:xfrm>
        <a:prstGeom prst="rect">
          <a:avLst/>
        </a:prstGeom>
        <a:noFill/>
        <a:ln w="9525">
          <a:noFill/>
          <a:miter lim="800000"/>
        </a:ln>
      </xdr:spPr>
      <xdr:txBody>
        <a:bodyPr vertOverflow="clip" wrap="square" lIns="27432" tIns="27432" rIns="27432" bIns="0" anchor="t" upright="1"/>
        <a:lstStyle/>
        <a:p>
          <a:pPr algn="ctr" rtl="1">
            <a:defRPr sz="1000"/>
          </a:pPr>
          <a:endParaRPr lang="en-US" sz="800" b="0" i="0" strike="noStrike">
            <a:solidFill>
              <a:srgbClr val="000000"/>
            </a:solidFill>
            <a:latin typeface="Arial Narrow" panose="020B0606020202030204"/>
          </a:endParaRPr>
        </a:p>
      </xdr:txBody>
    </xdr:sp>
    <xdr:clientData/>
  </xdr:twoCellAnchor>
  <xdr:twoCellAnchor>
    <xdr:from>
      <xdr:col>9</xdr:col>
      <xdr:colOff>9525</xdr:colOff>
      <xdr:row>197</xdr:row>
      <xdr:rowOff>114300</xdr:rowOff>
    </xdr:from>
    <xdr:to>
      <xdr:col>13</xdr:col>
      <xdr:colOff>152400</xdr:colOff>
      <xdr:row>198</xdr:row>
      <xdr:rowOff>117642</xdr:rowOff>
    </xdr:to>
    <xdr:sp macro="" textlink="">
      <xdr:nvSpPr>
        <xdr:cNvPr id="210" name="Rectangle 248">
          <a:extLst>
            <a:ext uri="{FF2B5EF4-FFF2-40B4-BE49-F238E27FC236}">
              <a16:creationId xmlns:a16="http://schemas.microsoft.com/office/drawing/2014/main" id="{00000000-0008-0000-0B00-0000D2000000}"/>
            </a:ext>
          </a:extLst>
        </xdr:cNvPr>
        <xdr:cNvSpPr>
          <a:spLocks noChangeArrowheads="1"/>
        </xdr:cNvSpPr>
      </xdr:nvSpPr>
      <xdr:spPr>
        <a:xfrm>
          <a:off x="4333875" y="28717875"/>
          <a:ext cx="866775" cy="165100"/>
        </a:xfrm>
        <a:prstGeom prst="rect">
          <a:avLst/>
        </a:prstGeom>
        <a:noFill/>
        <a:ln w="9525">
          <a:noFill/>
          <a:miter lim="800000"/>
        </a:ln>
      </xdr:spPr>
      <xdr:txBody>
        <a:bodyPr vertOverflow="clip" wrap="square" lIns="27432" tIns="22860" rIns="27432" bIns="0" anchor="t" upright="1"/>
        <a:lstStyle/>
        <a:p>
          <a:pPr algn="ctr" rtl="1">
            <a:defRPr sz="1000"/>
          </a:pPr>
          <a:endParaRPr lang="en-US" sz="1000" b="0" i="0" strike="noStrike">
            <a:solidFill>
              <a:srgbClr val="000000"/>
            </a:solidFill>
            <a:latin typeface="Arial Narrow" panose="020B0606020202030204"/>
          </a:endParaRPr>
        </a:p>
      </xdr:txBody>
    </xdr:sp>
    <xdr:clientData/>
  </xdr:twoCellAnchor>
  <xdr:twoCellAnchor>
    <xdr:from>
      <xdr:col>17</xdr:col>
      <xdr:colOff>152400</xdr:colOff>
      <xdr:row>194</xdr:row>
      <xdr:rowOff>114300</xdr:rowOff>
    </xdr:from>
    <xdr:to>
      <xdr:col>20</xdr:col>
      <xdr:colOff>190500</xdr:colOff>
      <xdr:row>195</xdr:row>
      <xdr:rowOff>117642</xdr:rowOff>
    </xdr:to>
    <xdr:sp macro="" textlink="">
      <xdr:nvSpPr>
        <xdr:cNvPr id="211" name="Rectangle 249">
          <a:extLst>
            <a:ext uri="{FF2B5EF4-FFF2-40B4-BE49-F238E27FC236}">
              <a16:creationId xmlns:a16="http://schemas.microsoft.com/office/drawing/2014/main" id="{00000000-0008-0000-0B00-0000D3000000}"/>
            </a:ext>
          </a:extLst>
        </xdr:cNvPr>
        <xdr:cNvSpPr>
          <a:spLocks noChangeArrowheads="1"/>
        </xdr:cNvSpPr>
      </xdr:nvSpPr>
      <xdr:spPr>
        <a:xfrm>
          <a:off x="6010275" y="28232100"/>
          <a:ext cx="762000" cy="165100"/>
        </a:xfrm>
        <a:prstGeom prst="rect">
          <a:avLst/>
        </a:prstGeom>
        <a:noFill/>
        <a:ln w="9525">
          <a:noFill/>
          <a:miter lim="800000"/>
        </a:ln>
      </xdr:spPr>
      <xdr:txBody>
        <a:bodyPr vertOverflow="clip" wrap="square" lIns="27432" tIns="22860" rIns="27432" bIns="0" anchor="t" upright="1"/>
        <a:lstStyle/>
        <a:p>
          <a:pPr algn="ctr" rtl="1">
            <a:defRPr sz="1000"/>
          </a:pPr>
          <a:endParaRPr lang="en-US" sz="1000" b="0" i="0" strike="noStrike">
            <a:solidFill>
              <a:srgbClr val="000000"/>
            </a:solidFill>
            <a:latin typeface="Arial Narrow" panose="020B0606020202030204"/>
          </a:endParaRPr>
        </a:p>
      </xdr:txBody>
    </xdr:sp>
    <xdr:clientData/>
  </xdr:twoCellAnchor>
  <xdr:twoCellAnchor>
    <xdr:from>
      <xdr:col>8</xdr:col>
      <xdr:colOff>76200</xdr:colOff>
      <xdr:row>198</xdr:row>
      <xdr:rowOff>117475</xdr:rowOff>
    </xdr:from>
    <xdr:to>
      <xdr:col>17</xdr:col>
      <xdr:colOff>9525</xdr:colOff>
      <xdr:row>199</xdr:row>
      <xdr:rowOff>155575</xdr:rowOff>
    </xdr:to>
    <xdr:sp macro="" textlink="">
      <xdr:nvSpPr>
        <xdr:cNvPr id="212" name="Rectangle 250">
          <a:extLst>
            <a:ext uri="{FF2B5EF4-FFF2-40B4-BE49-F238E27FC236}">
              <a16:creationId xmlns:a16="http://schemas.microsoft.com/office/drawing/2014/main" id="{00000000-0008-0000-0B00-0000D4000000}"/>
            </a:ext>
          </a:extLst>
        </xdr:cNvPr>
        <xdr:cNvSpPr>
          <a:spLocks noChangeArrowheads="1"/>
        </xdr:cNvSpPr>
      </xdr:nvSpPr>
      <xdr:spPr>
        <a:xfrm>
          <a:off x="4181475" y="28882975"/>
          <a:ext cx="1685925" cy="200025"/>
        </a:xfrm>
        <a:prstGeom prst="rect">
          <a:avLst/>
        </a:prstGeom>
        <a:noFill/>
        <a:ln w="9525">
          <a:noFill/>
          <a:miter lim="800000"/>
        </a:ln>
      </xdr:spPr>
      <xdr:txBody>
        <a:bodyPr vertOverflow="clip" wrap="square" lIns="27432" tIns="27432" rIns="27432" bIns="0" anchor="t" upright="1"/>
        <a:lstStyle/>
        <a:p>
          <a:pPr algn="ctr" rtl="1">
            <a:defRPr sz="1000"/>
          </a:pPr>
          <a:endParaRPr lang="en-US" sz="800" b="0" i="0" strike="noStrike">
            <a:solidFill>
              <a:srgbClr val="000000"/>
            </a:solidFill>
            <a:latin typeface="Arial Narrow" panose="020B0606020202030204"/>
          </a:endParaRPr>
        </a:p>
      </xdr:txBody>
    </xdr:sp>
    <xdr:clientData/>
  </xdr:twoCellAnchor>
  <xdr:twoCellAnchor>
    <xdr:from>
      <xdr:col>2</xdr:col>
      <xdr:colOff>314325</xdr:colOff>
      <xdr:row>160</xdr:row>
      <xdr:rowOff>85725</xdr:rowOff>
    </xdr:from>
    <xdr:to>
      <xdr:col>2</xdr:col>
      <xdr:colOff>847725</xdr:colOff>
      <xdr:row>162</xdr:row>
      <xdr:rowOff>0</xdr:rowOff>
    </xdr:to>
    <xdr:sp macro="" textlink="">
      <xdr:nvSpPr>
        <xdr:cNvPr id="214" name="WordArt 212">
          <a:extLst>
            <a:ext uri="{FF2B5EF4-FFF2-40B4-BE49-F238E27FC236}">
              <a16:creationId xmlns:a16="http://schemas.microsoft.com/office/drawing/2014/main" id="{00000000-0008-0000-0B00-0000D6000000}"/>
            </a:ext>
          </a:extLst>
        </xdr:cNvPr>
        <xdr:cNvSpPr>
          <a:spLocks noChangeArrowheads="1" noChangeShapeType="1" noTextEdit="1"/>
        </xdr:cNvSpPr>
      </xdr:nvSpPr>
      <xdr:spPr>
        <a:xfrm>
          <a:off x="1495425" y="22602825"/>
          <a:ext cx="533400" cy="247650"/>
        </a:xfrm>
        <a:prstGeom prst="rect">
          <a:avLst/>
        </a:prstGeom>
      </xdr:spPr>
      <xdr:txBody>
        <a:bodyPr wrap="none" fromWordArt="1">
          <a:prstTxWarp prst="textPlain">
            <a:avLst>
              <a:gd name="adj" fmla="val 50000"/>
            </a:avLst>
          </a:prstTxWarp>
        </a:bodyPr>
        <a:lstStyle/>
        <a:p>
          <a:pPr algn="ctr" rtl="0"/>
          <a:endParaRPr lang="en-US" sz="3600" kern="10" spc="0">
            <a:ln w="9525">
              <a:solidFill>
                <a:srgbClr val="000000"/>
              </a:solidFill>
              <a:round/>
            </a:ln>
            <a:solidFill>
              <a:srgbClr val="000000"/>
            </a:solidFill>
            <a:effectLst/>
            <a:latin typeface="Arial Black" panose="020B0A04020102020204"/>
          </a:endParaRPr>
        </a:p>
      </xdr:txBody>
    </xdr:sp>
    <xdr:clientData/>
  </xdr:twoCellAnchor>
  <xdr:twoCellAnchor>
    <xdr:from>
      <xdr:col>0</xdr:col>
      <xdr:colOff>0</xdr:colOff>
      <xdr:row>196</xdr:row>
      <xdr:rowOff>0</xdr:rowOff>
    </xdr:from>
    <xdr:to>
      <xdr:col>2</xdr:col>
      <xdr:colOff>381000</xdr:colOff>
      <xdr:row>197</xdr:row>
      <xdr:rowOff>95250</xdr:rowOff>
    </xdr:to>
    <xdr:sp macro="" textlink="">
      <xdr:nvSpPr>
        <xdr:cNvPr id="215" name="Rectangle 228">
          <a:extLst>
            <a:ext uri="{FF2B5EF4-FFF2-40B4-BE49-F238E27FC236}">
              <a16:creationId xmlns:a16="http://schemas.microsoft.com/office/drawing/2014/main" id="{00000000-0008-0000-0B00-0000D7000000}"/>
            </a:ext>
          </a:extLst>
        </xdr:cNvPr>
        <xdr:cNvSpPr>
          <a:spLocks noChangeArrowheads="1"/>
        </xdr:cNvSpPr>
      </xdr:nvSpPr>
      <xdr:spPr>
        <a:xfrm>
          <a:off x="0" y="28441650"/>
          <a:ext cx="15621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APPLICABLE PERIOD</a:t>
          </a:r>
        </a:p>
      </xdr:txBody>
    </xdr:sp>
    <xdr:clientData/>
  </xdr:twoCellAnchor>
  <xdr:twoCellAnchor>
    <xdr:from>
      <xdr:col>2</xdr:col>
      <xdr:colOff>371475</xdr:colOff>
      <xdr:row>196</xdr:row>
      <xdr:rowOff>0</xdr:rowOff>
    </xdr:from>
    <xdr:to>
      <xdr:col>2</xdr:col>
      <xdr:colOff>1009650</xdr:colOff>
      <xdr:row>197</xdr:row>
      <xdr:rowOff>95250</xdr:rowOff>
    </xdr:to>
    <xdr:sp macro="" textlink="">
      <xdr:nvSpPr>
        <xdr:cNvPr id="216" name="Rectangle 229">
          <a:extLst>
            <a:ext uri="{FF2B5EF4-FFF2-40B4-BE49-F238E27FC236}">
              <a16:creationId xmlns:a16="http://schemas.microsoft.com/office/drawing/2014/main" id="{00000000-0008-0000-0B00-0000D8000000}"/>
            </a:ext>
          </a:extLst>
        </xdr:cNvPr>
        <xdr:cNvSpPr>
          <a:spLocks noChangeArrowheads="1"/>
        </xdr:cNvSpPr>
      </xdr:nvSpPr>
      <xdr:spPr>
        <a:xfrm>
          <a:off x="1552575" y="28441650"/>
          <a:ext cx="52387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REMITTED</a:t>
          </a:r>
        </a:p>
        <a:p>
          <a:pPr algn="ctr" rtl="1">
            <a:defRPr sz="1000"/>
          </a:pPr>
          <a:r>
            <a:rPr lang="en-US" sz="500" b="0" i="0" strike="noStrike">
              <a:solidFill>
                <a:srgbClr val="000000"/>
              </a:solidFill>
              <a:latin typeface="Arial Narrow" panose="020B0606020202030204"/>
            </a:rPr>
            <a:t>AMOUNT</a:t>
          </a:r>
        </a:p>
      </xdr:txBody>
    </xdr:sp>
    <xdr:clientData/>
  </xdr:twoCellAnchor>
  <xdr:twoCellAnchor>
    <xdr:from>
      <xdr:col>3</xdr:col>
      <xdr:colOff>914400</xdr:colOff>
      <xdr:row>196</xdr:row>
      <xdr:rowOff>0</xdr:rowOff>
    </xdr:from>
    <xdr:to>
      <xdr:col>5</xdr:col>
      <xdr:colOff>447675</xdr:colOff>
      <xdr:row>197</xdr:row>
      <xdr:rowOff>95250</xdr:rowOff>
    </xdr:to>
    <xdr:sp macro="" textlink="">
      <xdr:nvSpPr>
        <xdr:cNvPr id="217" name="Rectangle 230">
          <a:extLst>
            <a:ext uri="{FF2B5EF4-FFF2-40B4-BE49-F238E27FC236}">
              <a16:creationId xmlns:a16="http://schemas.microsoft.com/office/drawing/2014/main" id="{00000000-0008-0000-0B00-0000D9000000}"/>
            </a:ext>
          </a:extLst>
        </xdr:cNvPr>
        <xdr:cNvSpPr>
          <a:spLocks noChangeArrowheads="1"/>
        </xdr:cNvSpPr>
      </xdr:nvSpPr>
      <xdr:spPr>
        <a:xfrm>
          <a:off x="2990850" y="28441650"/>
          <a:ext cx="66675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TRANSACTION</a:t>
          </a:r>
        </a:p>
        <a:p>
          <a:pPr algn="ctr" rtl="1">
            <a:defRPr sz="1000"/>
          </a:pPr>
          <a:r>
            <a:rPr lang="en-US" sz="500" b="0" i="0" strike="noStrike">
              <a:solidFill>
                <a:srgbClr val="000000"/>
              </a:solidFill>
              <a:latin typeface="Arial Narrow" panose="020B0606020202030204"/>
            </a:rPr>
            <a:t>DATE</a:t>
          </a:r>
        </a:p>
      </xdr:txBody>
    </xdr:sp>
    <xdr:clientData/>
  </xdr:twoCellAnchor>
  <xdr:twoCellAnchor>
    <xdr:from>
      <xdr:col>5</xdr:col>
      <xdr:colOff>419100</xdr:colOff>
      <xdr:row>196</xdr:row>
      <xdr:rowOff>0</xdr:rowOff>
    </xdr:from>
    <xdr:to>
      <xdr:col>6</xdr:col>
      <xdr:colOff>0</xdr:colOff>
      <xdr:row>197</xdr:row>
      <xdr:rowOff>95250</xdr:rowOff>
    </xdr:to>
    <xdr:sp macro="" textlink="">
      <xdr:nvSpPr>
        <xdr:cNvPr id="218" name="Rectangle 231">
          <a:extLst>
            <a:ext uri="{FF2B5EF4-FFF2-40B4-BE49-F238E27FC236}">
              <a16:creationId xmlns:a16="http://schemas.microsoft.com/office/drawing/2014/main" id="{00000000-0008-0000-0B00-0000DA000000}"/>
            </a:ext>
          </a:extLst>
        </xdr:cNvPr>
        <xdr:cNvSpPr>
          <a:spLocks noChangeArrowheads="1"/>
        </xdr:cNvSpPr>
      </xdr:nvSpPr>
      <xdr:spPr>
        <a:xfrm>
          <a:off x="3629025" y="28441650"/>
          <a:ext cx="276225"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NO. OF</a:t>
          </a:r>
        </a:p>
        <a:p>
          <a:pPr algn="ctr" rtl="1">
            <a:defRPr sz="1000"/>
          </a:pPr>
          <a:r>
            <a:rPr lang="en-US" sz="500" b="0" i="0" strike="noStrike">
              <a:solidFill>
                <a:srgbClr val="000000"/>
              </a:solidFill>
              <a:latin typeface="Arial Narrow" panose="020B0606020202030204"/>
            </a:rPr>
            <a:t>EMPLOUYEES</a:t>
          </a:r>
        </a:p>
      </xdr:txBody>
    </xdr:sp>
    <xdr:clientData/>
  </xdr:twoCellAnchor>
  <xdr:twoCellAnchor>
    <xdr:from>
      <xdr:col>2</xdr:col>
      <xdr:colOff>1000125</xdr:colOff>
      <xdr:row>196</xdr:row>
      <xdr:rowOff>0</xdr:rowOff>
    </xdr:from>
    <xdr:to>
      <xdr:col>3</xdr:col>
      <xdr:colOff>914400</xdr:colOff>
      <xdr:row>197</xdr:row>
      <xdr:rowOff>95250</xdr:rowOff>
    </xdr:to>
    <xdr:sp macro="" textlink="">
      <xdr:nvSpPr>
        <xdr:cNvPr id="219" name="Rectangle 232">
          <a:extLst>
            <a:ext uri="{FF2B5EF4-FFF2-40B4-BE49-F238E27FC236}">
              <a16:creationId xmlns:a16="http://schemas.microsoft.com/office/drawing/2014/main" id="{00000000-0008-0000-0B00-0000DB000000}"/>
            </a:ext>
          </a:extLst>
        </xdr:cNvPr>
        <xdr:cNvSpPr>
          <a:spLocks noChangeArrowheads="1"/>
        </xdr:cNvSpPr>
      </xdr:nvSpPr>
      <xdr:spPr>
        <a:xfrm>
          <a:off x="2076450" y="28441650"/>
          <a:ext cx="914400" cy="257175"/>
        </a:xfrm>
        <a:prstGeom prst="rect">
          <a:avLst/>
        </a:prstGeom>
        <a:solidFill>
          <a:srgbClr val="FFFFFF"/>
        </a:solidFill>
        <a:ln w="9525">
          <a:solidFill>
            <a:srgbClr val="000000"/>
          </a:solidFill>
          <a:miter lim="800000"/>
        </a:ln>
      </xdr:spPr>
      <xdr:txBody>
        <a:bodyPr vertOverflow="clip" wrap="square" lIns="18288" tIns="18288" rIns="18288" bIns="0" anchor="t" upright="1"/>
        <a:lstStyle/>
        <a:p>
          <a:pPr algn="ctr" rtl="1">
            <a:defRPr sz="1000"/>
          </a:pPr>
          <a:r>
            <a:rPr lang="en-US" sz="500" b="0" i="0" strike="noStrike">
              <a:solidFill>
                <a:srgbClr val="000000"/>
              </a:solidFill>
              <a:latin typeface="Arial Narrow" panose="020B0606020202030204"/>
            </a:rPr>
            <a:t>ACKNOWLEDGEMENT</a:t>
          </a:r>
        </a:p>
        <a:p>
          <a:pPr algn="ctr" rtl="1">
            <a:defRPr sz="1000"/>
          </a:pPr>
          <a:r>
            <a:rPr lang="en-US" sz="500" b="0" i="0" strike="noStrike">
              <a:solidFill>
                <a:srgbClr val="000000"/>
              </a:solidFill>
              <a:latin typeface="Arial Narrow" panose="020B0606020202030204"/>
            </a:rPr>
            <a:t>RECEIPT NO.</a:t>
          </a:r>
        </a:p>
      </xdr:txBody>
    </xdr:sp>
    <xdr:clientData/>
  </xdr:twoCellAnchor>
  <xdr:twoCellAnchor>
    <xdr:from>
      <xdr:col>0</xdr:col>
      <xdr:colOff>0</xdr:colOff>
      <xdr:row>197</xdr:row>
      <xdr:rowOff>95250</xdr:rowOff>
    </xdr:from>
    <xdr:to>
      <xdr:col>2</xdr:col>
      <xdr:colOff>381000</xdr:colOff>
      <xdr:row>200</xdr:row>
      <xdr:rowOff>0</xdr:rowOff>
    </xdr:to>
    <xdr:sp macro="" textlink="">
      <xdr:nvSpPr>
        <xdr:cNvPr id="220" name="Rectangle 233">
          <a:extLst>
            <a:ext uri="{FF2B5EF4-FFF2-40B4-BE49-F238E27FC236}">
              <a16:creationId xmlns:a16="http://schemas.microsoft.com/office/drawing/2014/main" id="{00000000-0008-0000-0B00-0000DC000000}"/>
            </a:ext>
          </a:extLst>
        </xdr:cNvPr>
        <xdr:cNvSpPr>
          <a:spLocks noChangeArrowheads="1"/>
        </xdr:cNvSpPr>
      </xdr:nvSpPr>
      <xdr:spPr>
        <a:xfrm>
          <a:off x="0" y="28698825"/>
          <a:ext cx="1562100" cy="390525"/>
        </a:xfrm>
        <a:prstGeom prst="rect">
          <a:avLst/>
        </a:prstGeom>
        <a:solidFill>
          <a:srgbClr val="FFFFFF"/>
        </a:solidFill>
        <a:ln w="9525">
          <a:solidFill>
            <a:srgbClr val="000000"/>
          </a:solidFill>
          <a:miter lim="800000"/>
        </a:ln>
      </xdr:spPr>
    </xdr:sp>
    <xdr:clientData/>
  </xdr:twoCellAnchor>
  <xdr:twoCellAnchor>
    <xdr:from>
      <xdr:col>2</xdr:col>
      <xdr:colOff>371475</xdr:colOff>
      <xdr:row>197</xdr:row>
      <xdr:rowOff>95250</xdr:rowOff>
    </xdr:from>
    <xdr:to>
      <xdr:col>2</xdr:col>
      <xdr:colOff>1009650</xdr:colOff>
      <xdr:row>200</xdr:row>
      <xdr:rowOff>0</xdr:rowOff>
    </xdr:to>
    <xdr:sp macro="" textlink="">
      <xdr:nvSpPr>
        <xdr:cNvPr id="221" name="Rectangle 234">
          <a:extLst>
            <a:ext uri="{FF2B5EF4-FFF2-40B4-BE49-F238E27FC236}">
              <a16:creationId xmlns:a16="http://schemas.microsoft.com/office/drawing/2014/main" id="{00000000-0008-0000-0B00-0000DD000000}"/>
            </a:ext>
          </a:extLst>
        </xdr:cNvPr>
        <xdr:cNvSpPr>
          <a:spLocks noChangeArrowheads="1"/>
        </xdr:cNvSpPr>
      </xdr:nvSpPr>
      <xdr:spPr>
        <a:xfrm>
          <a:off x="1552575" y="28698825"/>
          <a:ext cx="523875" cy="390525"/>
        </a:xfrm>
        <a:prstGeom prst="rect">
          <a:avLst/>
        </a:prstGeom>
        <a:solidFill>
          <a:srgbClr val="FFFFFF"/>
        </a:solidFill>
        <a:ln w="9525">
          <a:solidFill>
            <a:srgbClr val="000000"/>
          </a:solidFill>
          <a:miter lim="800000"/>
        </a:ln>
      </xdr:spPr>
    </xdr:sp>
    <xdr:clientData/>
  </xdr:twoCellAnchor>
  <xdr:twoCellAnchor>
    <xdr:from>
      <xdr:col>3</xdr:col>
      <xdr:colOff>914400</xdr:colOff>
      <xdr:row>197</xdr:row>
      <xdr:rowOff>95250</xdr:rowOff>
    </xdr:from>
    <xdr:to>
      <xdr:col>5</xdr:col>
      <xdr:colOff>447675</xdr:colOff>
      <xdr:row>200</xdr:row>
      <xdr:rowOff>0</xdr:rowOff>
    </xdr:to>
    <xdr:sp macro="" textlink="">
      <xdr:nvSpPr>
        <xdr:cNvPr id="222" name="Rectangle 235">
          <a:extLst>
            <a:ext uri="{FF2B5EF4-FFF2-40B4-BE49-F238E27FC236}">
              <a16:creationId xmlns:a16="http://schemas.microsoft.com/office/drawing/2014/main" id="{00000000-0008-0000-0B00-0000DE000000}"/>
            </a:ext>
          </a:extLst>
        </xdr:cNvPr>
        <xdr:cNvSpPr>
          <a:spLocks noChangeArrowheads="1"/>
        </xdr:cNvSpPr>
      </xdr:nvSpPr>
      <xdr:spPr>
        <a:xfrm>
          <a:off x="2990850" y="28698825"/>
          <a:ext cx="666750" cy="390525"/>
        </a:xfrm>
        <a:prstGeom prst="rect">
          <a:avLst/>
        </a:prstGeom>
        <a:solidFill>
          <a:srgbClr val="FFFFFF"/>
        </a:solidFill>
        <a:ln w="9525">
          <a:solidFill>
            <a:srgbClr val="000000"/>
          </a:solidFill>
          <a:miter lim="800000"/>
        </a:ln>
      </xdr:spPr>
    </xdr:sp>
    <xdr:clientData/>
  </xdr:twoCellAnchor>
  <xdr:twoCellAnchor>
    <xdr:from>
      <xdr:col>5</xdr:col>
      <xdr:colOff>419100</xdr:colOff>
      <xdr:row>197</xdr:row>
      <xdr:rowOff>95250</xdr:rowOff>
    </xdr:from>
    <xdr:to>
      <xdr:col>6</xdr:col>
      <xdr:colOff>0</xdr:colOff>
      <xdr:row>200</xdr:row>
      <xdr:rowOff>0</xdr:rowOff>
    </xdr:to>
    <xdr:sp macro="" textlink="">
      <xdr:nvSpPr>
        <xdr:cNvPr id="223" name="Rectangle 236">
          <a:extLst>
            <a:ext uri="{FF2B5EF4-FFF2-40B4-BE49-F238E27FC236}">
              <a16:creationId xmlns:a16="http://schemas.microsoft.com/office/drawing/2014/main" id="{00000000-0008-0000-0B00-0000DF000000}"/>
            </a:ext>
          </a:extLst>
        </xdr:cNvPr>
        <xdr:cNvSpPr>
          <a:spLocks noChangeArrowheads="1"/>
        </xdr:cNvSpPr>
      </xdr:nvSpPr>
      <xdr:spPr>
        <a:xfrm>
          <a:off x="3629025" y="28698825"/>
          <a:ext cx="276225" cy="390525"/>
        </a:xfrm>
        <a:prstGeom prst="rect">
          <a:avLst/>
        </a:prstGeom>
        <a:solidFill>
          <a:srgbClr val="FFFFFF"/>
        </a:solidFill>
        <a:ln w="9525">
          <a:solidFill>
            <a:srgbClr val="000000"/>
          </a:solidFill>
          <a:miter lim="800000"/>
        </a:ln>
      </xdr:spPr>
    </xdr:sp>
    <xdr:clientData/>
  </xdr:twoCellAnchor>
  <xdr:twoCellAnchor>
    <xdr:from>
      <xdr:col>2</xdr:col>
      <xdr:colOff>1000125</xdr:colOff>
      <xdr:row>197</xdr:row>
      <xdr:rowOff>95250</xdr:rowOff>
    </xdr:from>
    <xdr:to>
      <xdr:col>3</xdr:col>
      <xdr:colOff>914400</xdr:colOff>
      <xdr:row>200</xdr:row>
      <xdr:rowOff>0</xdr:rowOff>
    </xdr:to>
    <xdr:sp macro="" textlink="">
      <xdr:nvSpPr>
        <xdr:cNvPr id="224" name="Rectangle 237">
          <a:extLst>
            <a:ext uri="{FF2B5EF4-FFF2-40B4-BE49-F238E27FC236}">
              <a16:creationId xmlns:a16="http://schemas.microsoft.com/office/drawing/2014/main" id="{00000000-0008-0000-0B00-0000E0000000}"/>
            </a:ext>
          </a:extLst>
        </xdr:cNvPr>
        <xdr:cNvSpPr>
          <a:spLocks noChangeArrowheads="1"/>
        </xdr:cNvSpPr>
      </xdr:nvSpPr>
      <xdr:spPr>
        <a:xfrm>
          <a:off x="2076450" y="28698825"/>
          <a:ext cx="914400" cy="390525"/>
        </a:xfrm>
        <a:prstGeom prst="rect">
          <a:avLst/>
        </a:prstGeom>
        <a:solidFill>
          <a:srgbClr val="FFFFFF"/>
        </a:solidFill>
        <a:ln w="9525">
          <a:solidFill>
            <a:srgbClr val="000000"/>
          </a:solidFill>
          <a:miter lim="800000"/>
        </a:ln>
      </xdr:spPr>
    </xdr:sp>
    <xdr:clientData/>
  </xdr:twoCellAnchor>
  <xdr:twoCellAnchor>
    <xdr:from>
      <xdr:col>7</xdr:col>
      <xdr:colOff>0</xdr:colOff>
      <xdr:row>192</xdr:row>
      <xdr:rowOff>9525</xdr:rowOff>
    </xdr:from>
    <xdr:to>
      <xdr:col>22</xdr:col>
      <xdr:colOff>0</xdr:colOff>
      <xdr:row>194</xdr:row>
      <xdr:rowOff>76200</xdr:rowOff>
    </xdr:to>
    <xdr:sp macro="" textlink="">
      <xdr:nvSpPr>
        <xdr:cNvPr id="225" name="Rectangle 238">
          <a:extLst>
            <a:ext uri="{FF2B5EF4-FFF2-40B4-BE49-F238E27FC236}">
              <a16:creationId xmlns:a16="http://schemas.microsoft.com/office/drawing/2014/main" id="{00000000-0008-0000-0B00-0000E1000000}"/>
            </a:ext>
          </a:extLst>
        </xdr:cNvPr>
        <xdr:cNvSpPr>
          <a:spLocks noChangeArrowheads="1"/>
        </xdr:cNvSpPr>
      </xdr:nvSpPr>
      <xdr:spPr>
        <a:xfrm>
          <a:off x="3905250" y="27803475"/>
          <a:ext cx="3590925" cy="390525"/>
        </a:xfrm>
        <a:prstGeom prst="rect">
          <a:avLst/>
        </a:prstGeom>
        <a:solidFill>
          <a:srgbClr val="FFFFFF"/>
        </a:solidFill>
        <a:ln w="9525">
          <a:solidFill>
            <a:srgbClr val="000000"/>
          </a:solidFill>
          <a:miter lim="800000"/>
        </a:ln>
      </xdr:spPr>
    </xdr:sp>
    <xdr:clientData/>
  </xdr:twoCellAnchor>
  <xdr:twoCellAnchor>
    <xdr:from>
      <xdr:col>7</xdr:col>
      <xdr:colOff>0</xdr:colOff>
      <xdr:row>194</xdr:row>
      <xdr:rowOff>76200</xdr:rowOff>
    </xdr:from>
    <xdr:to>
      <xdr:col>22</xdr:col>
      <xdr:colOff>0</xdr:colOff>
      <xdr:row>197</xdr:row>
      <xdr:rowOff>0</xdr:rowOff>
    </xdr:to>
    <xdr:sp macro="" textlink="">
      <xdr:nvSpPr>
        <xdr:cNvPr id="226" name="Rectangle 239">
          <a:extLst>
            <a:ext uri="{FF2B5EF4-FFF2-40B4-BE49-F238E27FC236}">
              <a16:creationId xmlns:a16="http://schemas.microsoft.com/office/drawing/2014/main" id="{00000000-0008-0000-0B00-0000E2000000}"/>
            </a:ext>
          </a:extLst>
        </xdr:cNvPr>
        <xdr:cNvSpPr>
          <a:spLocks noChangeArrowheads="1"/>
        </xdr:cNvSpPr>
      </xdr:nvSpPr>
      <xdr:spPr>
        <a:xfrm>
          <a:off x="3905250" y="28194000"/>
          <a:ext cx="3590925" cy="409575"/>
        </a:xfrm>
        <a:prstGeom prst="rect">
          <a:avLst/>
        </a:prstGeom>
        <a:solidFill>
          <a:srgbClr val="FFFFFF"/>
        </a:solidFill>
        <a:ln w="9525">
          <a:solidFill>
            <a:srgbClr val="000000"/>
          </a:solidFill>
          <a:miter lim="800000"/>
        </a:ln>
      </xdr:spPr>
    </xdr:sp>
    <xdr:clientData/>
  </xdr:twoCellAnchor>
  <xdr:twoCellAnchor>
    <xdr:from>
      <xdr:col>7</xdr:col>
      <xdr:colOff>28575</xdr:colOff>
      <xdr:row>195</xdr:row>
      <xdr:rowOff>41275</xdr:rowOff>
    </xdr:from>
    <xdr:to>
      <xdr:col>7</xdr:col>
      <xdr:colOff>209550</xdr:colOff>
      <xdr:row>196</xdr:row>
      <xdr:rowOff>37978</xdr:rowOff>
    </xdr:to>
    <xdr:sp macro="" textlink="">
      <xdr:nvSpPr>
        <xdr:cNvPr id="227" name="Rectangle 242">
          <a:extLst>
            <a:ext uri="{FF2B5EF4-FFF2-40B4-BE49-F238E27FC236}">
              <a16:creationId xmlns:a16="http://schemas.microsoft.com/office/drawing/2014/main" id="{00000000-0008-0000-0B00-0000E3000000}"/>
            </a:ext>
          </a:extLst>
        </xdr:cNvPr>
        <xdr:cNvSpPr>
          <a:spLocks noChangeArrowheads="1"/>
        </xdr:cNvSpPr>
      </xdr:nvSpPr>
      <xdr:spPr>
        <a:xfrm>
          <a:off x="3933825" y="28321000"/>
          <a:ext cx="171450" cy="158115"/>
        </a:xfrm>
        <a:prstGeom prst="rect">
          <a:avLst/>
        </a:prstGeom>
        <a:solidFill>
          <a:srgbClr val="FFFFFF"/>
        </a:solidFill>
        <a:ln w="9525">
          <a:solidFill>
            <a:srgbClr val="000000"/>
          </a:solid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12</a:t>
          </a:r>
        </a:p>
      </xdr:txBody>
    </xdr:sp>
    <xdr:clientData/>
  </xdr:twoCellAnchor>
  <xdr:twoCellAnchor>
    <xdr:from>
      <xdr:col>0</xdr:col>
      <xdr:colOff>19050</xdr:colOff>
      <xdr:row>194</xdr:row>
      <xdr:rowOff>158750</xdr:rowOff>
    </xdr:from>
    <xdr:to>
      <xdr:col>2</xdr:col>
      <xdr:colOff>28575</xdr:colOff>
      <xdr:row>195</xdr:row>
      <xdr:rowOff>136102</xdr:rowOff>
    </xdr:to>
    <xdr:sp macro="" textlink="">
      <xdr:nvSpPr>
        <xdr:cNvPr id="228" name="Rectangle 243">
          <a:extLst>
            <a:ext uri="{FF2B5EF4-FFF2-40B4-BE49-F238E27FC236}">
              <a16:creationId xmlns:a16="http://schemas.microsoft.com/office/drawing/2014/main" id="{00000000-0008-0000-0B00-0000E4000000}"/>
            </a:ext>
          </a:extLst>
        </xdr:cNvPr>
        <xdr:cNvSpPr>
          <a:spLocks noChangeArrowheads="1"/>
        </xdr:cNvSpPr>
      </xdr:nvSpPr>
      <xdr:spPr>
        <a:xfrm>
          <a:off x="19050" y="28276550"/>
          <a:ext cx="1190625" cy="13906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panose="020B0604020202020204"/>
              <a:cs typeface="Arial" panose="020B0604020202020204"/>
            </a:rPr>
            <a:t>11</a:t>
          </a:r>
        </a:p>
      </xdr:txBody>
    </xdr:sp>
    <xdr:clientData/>
  </xdr:twoCellAnchor>
  <xdr:twoCellAnchor>
    <xdr:from>
      <xdr:col>8</xdr:col>
      <xdr:colOff>152400</xdr:colOff>
      <xdr:row>195</xdr:row>
      <xdr:rowOff>50800</xdr:rowOff>
    </xdr:from>
    <xdr:to>
      <xdr:col>13</xdr:col>
      <xdr:colOff>66675</xdr:colOff>
      <xdr:row>196</xdr:row>
      <xdr:rowOff>47503</xdr:rowOff>
    </xdr:to>
    <xdr:sp macro="" textlink="">
      <xdr:nvSpPr>
        <xdr:cNvPr id="229" name="Rectangle 244">
          <a:extLst>
            <a:ext uri="{FF2B5EF4-FFF2-40B4-BE49-F238E27FC236}">
              <a16:creationId xmlns:a16="http://schemas.microsoft.com/office/drawing/2014/main" id="{00000000-0008-0000-0B00-0000E5000000}"/>
            </a:ext>
          </a:extLst>
        </xdr:cNvPr>
        <xdr:cNvSpPr>
          <a:spLocks noChangeArrowheads="1"/>
        </xdr:cNvSpPr>
      </xdr:nvSpPr>
      <xdr:spPr>
        <a:xfrm>
          <a:off x="4257675" y="28330525"/>
          <a:ext cx="857250" cy="15811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SUBTOTAL</a:t>
          </a:r>
        </a:p>
      </xdr:txBody>
    </xdr:sp>
    <xdr:clientData/>
  </xdr:twoCellAnchor>
  <xdr:twoCellAnchor>
    <xdr:from>
      <xdr:col>17</xdr:col>
      <xdr:colOff>161925</xdr:colOff>
      <xdr:row>192</xdr:row>
      <xdr:rowOff>50800</xdr:rowOff>
    </xdr:from>
    <xdr:to>
      <xdr:col>20</xdr:col>
      <xdr:colOff>200025</xdr:colOff>
      <xdr:row>193</xdr:row>
      <xdr:rowOff>47503</xdr:rowOff>
    </xdr:to>
    <xdr:sp macro="" textlink="">
      <xdr:nvSpPr>
        <xdr:cNvPr id="230" name="Rectangle 245">
          <a:extLst>
            <a:ext uri="{FF2B5EF4-FFF2-40B4-BE49-F238E27FC236}">
              <a16:creationId xmlns:a16="http://schemas.microsoft.com/office/drawing/2014/main" id="{00000000-0008-0000-0B00-0000E6000000}"/>
            </a:ext>
          </a:extLst>
        </xdr:cNvPr>
        <xdr:cNvSpPr>
          <a:spLocks noChangeArrowheads="1"/>
        </xdr:cNvSpPr>
      </xdr:nvSpPr>
      <xdr:spPr>
        <a:xfrm>
          <a:off x="6019800" y="27844750"/>
          <a:ext cx="752475" cy="158115"/>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57150</xdr:colOff>
      <xdr:row>196</xdr:row>
      <xdr:rowOff>47625</xdr:rowOff>
    </xdr:from>
    <xdr:to>
      <xdr:col>16</xdr:col>
      <xdr:colOff>219075</xdr:colOff>
      <xdr:row>197</xdr:row>
      <xdr:rowOff>85725</xdr:rowOff>
    </xdr:to>
    <xdr:sp macro="" textlink="">
      <xdr:nvSpPr>
        <xdr:cNvPr id="231" name="Rectangle 246">
          <a:extLst>
            <a:ext uri="{FF2B5EF4-FFF2-40B4-BE49-F238E27FC236}">
              <a16:creationId xmlns:a16="http://schemas.microsoft.com/office/drawing/2014/main" id="{00000000-0008-0000-0B00-0000E7000000}"/>
            </a:ext>
          </a:extLst>
        </xdr:cNvPr>
        <xdr:cNvSpPr>
          <a:spLocks noChangeArrowheads="1"/>
        </xdr:cNvSpPr>
      </xdr:nvSpPr>
      <xdr:spPr>
        <a:xfrm>
          <a:off x="4162425" y="28489275"/>
          <a:ext cx="1695450"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every page)</a:t>
          </a:r>
        </a:p>
      </xdr:txBody>
    </xdr:sp>
    <xdr:clientData/>
  </xdr:twoCellAnchor>
  <xdr:twoCellAnchor>
    <xdr:from>
      <xdr:col>20</xdr:col>
      <xdr:colOff>57150</xdr:colOff>
      <xdr:row>193</xdr:row>
      <xdr:rowOff>95250</xdr:rowOff>
    </xdr:from>
    <xdr:to>
      <xdr:col>21</xdr:col>
      <xdr:colOff>219075</xdr:colOff>
      <xdr:row>193</xdr:row>
      <xdr:rowOff>95250</xdr:rowOff>
    </xdr:to>
    <xdr:sp macro="" textlink="">
      <xdr:nvSpPr>
        <xdr:cNvPr id="232" name="Line 247">
          <a:extLst>
            <a:ext uri="{FF2B5EF4-FFF2-40B4-BE49-F238E27FC236}">
              <a16:creationId xmlns:a16="http://schemas.microsoft.com/office/drawing/2014/main" id="{00000000-0008-0000-0B00-0000E8000000}"/>
            </a:ext>
          </a:extLst>
        </xdr:cNvPr>
        <xdr:cNvSpPr>
          <a:spLocks noChangeShapeType="1"/>
        </xdr:cNvSpPr>
      </xdr:nvSpPr>
      <xdr:spPr>
        <a:xfrm>
          <a:off x="6772275" y="28051125"/>
          <a:ext cx="180975" cy="0"/>
        </a:xfrm>
        <a:prstGeom prst="line">
          <a:avLst/>
        </a:prstGeom>
        <a:noFill/>
        <a:ln w="38100">
          <a:solidFill>
            <a:srgbClr val="000000"/>
          </a:solidFill>
          <a:round/>
          <a:tailEnd type="triangle" w="med" len="med"/>
        </a:ln>
      </xdr:spPr>
    </xdr:sp>
    <xdr:clientData/>
  </xdr:twoCellAnchor>
  <xdr:twoCellAnchor>
    <xdr:from>
      <xdr:col>9</xdr:col>
      <xdr:colOff>9525</xdr:colOff>
      <xdr:row>197</xdr:row>
      <xdr:rowOff>114300</xdr:rowOff>
    </xdr:from>
    <xdr:to>
      <xdr:col>13</xdr:col>
      <xdr:colOff>152400</xdr:colOff>
      <xdr:row>198</xdr:row>
      <xdr:rowOff>117642</xdr:rowOff>
    </xdr:to>
    <xdr:sp macro="" textlink="">
      <xdr:nvSpPr>
        <xdr:cNvPr id="233" name="Rectangle 248">
          <a:extLst>
            <a:ext uri="{FF2B5EF4-FFF2-40B4-BE49-F238E27FC236}">
              <a16:creationId xmlns:a16="http://schemas.microsoft.com/office/drawing/2014/main" id="{00000000-0008-0000-0B00-0000E9000000}"/>
            </a:ext>
          </a:extLst>
        </xdr:cNvPr>
        <xdr:cNvSpPr>
          <a:spLocks noChangeArrowheads="1"/>
        </xdr:cNvSpPr>
      </xdr:nvSpPr>
      <xdr:spPr>
        <a:xfrm>
          <a:off x="4333875" y="28717875"/>
          <a:ext cx="866775"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GRAND TOTAL</a:t>
          </a:r>
        </a:p>
      </xdr:txBody>
    </xdr:sp>
    <xdr:clientData/>
  </xdr:twoCellAnchor>
  <xdr:twoCellAnchor>
    <xdr:from>
      <xdr:col>17</xdr:col>
      <xdr:colOff>152400</xdr:colOff>
      <xdr:row>194</xdr:row>
      <xdr:rowOff>114300</xdr:rowOff>
    </xdr:from>
    <xdr:to>
      <xdr:col>20</xdr:col>
      <xdr:colOff>190500</xdr:colOff>
      <xdr:row>195</xdr:row>
      <xdr:rowOff>117642</xdr:rowOff>
    </xdr:to>
    <xdr:sp macro="" textlink="">
      <xdr:nvSpPr>
        <xdr:cNvPr id="234" name="Rectangle 249">
          <a:extLst>
            <a:ext uri="{FF2B5EF4-FFF2-40B4-BE49-F238E27FC236}">
              <a16:creationId xmlns:a16="http://schemas.microsoft.com/office/drawing/2014/main" id="{00000000-0008-0000-0B00-0000EA000000}"/>
            </a:ext>
          </a:extLst>
        </xdr:cNvPr>
        <xdr:cNvSpPr>
          <a:spLocks noChangeArrowheads="1"/>
        </xdr:cNvSpPr>
      </xdr:nvSpPr>
      <xdr:spPr>
        <a:xfrm>
          <a:off x="6010275" y="28232100"/>
          <a:ext cx="762000" cy="165100"/>
        </a:xfrm>
        <a:prstGeom prst="rect">
          <a:avLst/>
        </a:prstGeom>
        <a:noFill/>
        <a:ln w="9525">
          <a:noFill/>
          <a:miter lim="800000"/>
        </a:ln>
      </xdr:spPr>
      <xdr:txBody>
        <a:bodyPr vertOverflow="clip" wrap="square" lIns="27432" tIns="22860" rIns="27432" bIns="0" anchor="t" upright="1"/>
        <a:lstStyle/>
        <a:p>
          <a:pPr algn="ctr" rtl="1">
            <a:defRPr sz="1000"/>
          </a:pPr>
          <a:r>
            <a:rPr lang="en-US" sz="1000" b="0" i="0" strike="noStrike">
              <a:solidFill>
                <a:srgbClr val="000000"/>
              </a:solidFill>
              <a:latin typeface="Arial Narrow" panose="020B0606020202030204"/>
            </a:rPr>
            <a:t>(P3 + ES)</a:t>
          </a:r>
        </a:p>
      </xdr:txBody>
    </xdr:sp>
    <xdr:clientData/>
  </xdr:twoCellAnchor>
  <xdr:twoCellAnchor>
    <xdr:from>
      <xdr:col>8</xdr:col>
      <xdr:colOff>76200</xdr:colOff>
      <xdr:row>198</xdr:row>
      <xdr:rowOff>117475</xdr:rowOff>
    </xdr:from>
    <xdr:to>
      <xdr:col>17</xdr:col>
      <xdr:colOff>9525</xdr:colOff>
      <xdr:row>199</xdr:row>
      <xdr:rowOff>155575</xdr:rowOff>
    </xdr:to>
    <xdr:sp macro="" textlink="">
      <xdr:nvSpPr>
        <xdr:cNvPr id="235" name="Rectangle 250">
          <a:extLst>
            <a:ext uri="{FF2B5EF4-FFF2-40B4-BE49-F238E27FC236}">
              <a16:creationId xmlns:a16="http://schemas.microsoft.com/office/drawing/2014/main" id="{00000000-0008-0000-0B00-0000EB000000}"/>
            </a:ext>
          </a:extLst>
        </xdr:cNvPr>
        <xdr:cNvSpPr>
          <a:spLocks noChangeArrowheads="1"/>
        </xdr:cNvSpPr>
      </xdr:nvSpPr>
      <xdr:spPr>
        <a:xfrm>
          <a:off x="4181475" y="28882975"/>
          <a:ext cx="1685925" cy="200025"/>
        </a:xfrm>
        <a:prstGeom prst="rect">
          <a:avLst/>
        </a:prstGeom>
        <a:noFill/>
        <a:ln w="9525">
          <a:noFill/>
          <a:miter lim="800000"/>
        </a:ln>
      </xdr:spPr>
      <xdr:txBody>
        <a:bodyPr vertOverflow="clip" wrap="square" lIns="27432" tIns="27432" rIns="27432" bIns="0" anchor="t" upright="1"/>
        <a:lstStyle/>
        <a:p>
          <a:pPr algn="ctr" rtl="1">
            <a:defRPr sz="1000"/>
          </a:pPr>
          <a:r>
            <a:rPr lang="en-US" sz="800" b="0" i="0" strike="noStrike">
              <a:solidFill>
                <a:srgbClr val="000000"/>
              </a:solidFill>
              <a:latin typeface="Arial Narrow" panose="020B0606020202030204"/>
            </a:rPr>
            <a:t>(To be accomplished on the last page)</a:t>
          </a:r>
        </a:p>
      </xdr:txBody>
    </xdr:sp>
    <xdr:clientData/>
  </xdr:twoCellAnchor>
  <xdr:twoCellAnchor>
    <xdr:from>
      <xdr:col>20</xdr:col>
      <xdr:colOff>47625</xdr:colOff>
      <xdr:row>196</xdr:row>
      <xdr:rowOff>0</xdr:rowOff>
    </xdr:from>
    <xdr:to>
      <xdr:col>21</xdr:col>
      <xdr:colOff>209550</xdr:colOff>
      <xdr:row>196</xdr:row>
      <xdr:rowOff>0</xdr:rowOff>
    </xdr:to>
    <xdr:sp macro="" textlink="">
      <xdr:nvSpPr>
        <xdr:cNvPr id="236" name="Line 251">
          <a:extLst>
            <a:ext uri="{FF2B5EF4-FFF2-40B4-BE49-F238E27FC236}">
              <a16:creationId xmlns:a16="http://schemas.microsoft.com/office/drawing/2014/main" id="{00000000-0008-0000-0B00-0000EC000000}"/>
            </a:ext>
          </a:extLst>
        </xdr:cNvPr>
        <xdr:cNvSpPr>
          <a:spLocks noChangeShapeType="1"/>
        </xdr:cNvSpPr>
      </xdr:nvSpPr>
      <xdr:spPr>
        <a:xfrm>
          <a:off x="6772275" y="28441650"/>
          <a:ext cx="180975" cy="0"/>
        </a:xfrm>
        <a:prstGeom prst="line">
          <a:avLst/>
        </a:prstGeom>
        <a:noFill/>
        <a:ln w="38100">
          <a:solidFill>
            <a:srgbClr val="000000"/>
          </a:solidFill>
          <a:round/>
          <a:tailEnd type="triangle" w="med" len="med"/>
        </a:ln>
      </xdr:spPr>
    </xdr:sp>
    <xdr:clientData/>
  </xdr:twoCellAnchor>
  <xdr:twoCellAnchor editAs="oneCell">
    <xdr:from>
      <xdr:col>2</xdr:col>
      <xdr:colOff>347377</xdr:colOff>
      <xdr:row>0</xdr:row>
      <xdr:rowOff>0</xdr:rowOff>
    </xdr:from>
    <xdr:to>
      <xdr:col>18</xdr:col>
      <xdr:colOff>192735</xdr:colOff>
      <xdr:row>8</xdr:row>
      <xdr:rowOff>56029</xdr:rowOff>
    </xdr:to>
    <xdr:pic>
      <xdr:nvPicPr>
        <xdr:cNvPr id="114" name="Picture 113">
          <a:extLst>
            <a:ext uri="{FF2B5EF4-FFF2-40B4-BE49-F238E27FC236}">
              <a16:creationId xmlns:a16="http://schemas.microsoft.com/office/drawing/2014/main" id="{00000000-0008-0000-0B00-00007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5553" y="0"/>
          <a:ext cx="5638800" cy="143435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MRB/DECEMBER%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1"/>
      <sheetName val="ALOBS"/>
      <sheetName val="VOUCHER"/>
      <sheetName val="Philhealth New"/>
      <sheetName val="payslip"/>
      <sheetName val="DEC 2015"/>
      <sheetName val="CNGP"/>
      <sheetName val="ucpb"/>
      <sheetName val="nafc"/>
      <sheetName val="MPL"/>
      <sheetName val="coopbank"/>
      <sheetName val="MSLAP"/>
      <sheetName val="tax"/>
      <sheetName val="gsis"/>
      <sheetName val="pagibig"/>
      <sheetName val="PNB"/>
      <sheetName val="DBP"/>
      <sheetName val="emergency"/>
      <sheetName val="Nursery"/>
      <sheetName val="quedancor"/>
      <sheetName val="Pag Ibig Calamity Loan"/>
      <sheetName val="LBP"/>
      <sheetName val="UMID CA"/>
      <sheetName val="E-Plus CA"/>
      <sheetName val="consolloan"/>
    </sheetNames>
    <sheetDataSet>
      <sheetData sheetId="0" refreshError="1"/>
      <sheetData sheetId="1" refreshError="1"/>
      <sheetData sheetId="2" refreshError="1"/>
      <sheetData sheetId="3" refreshError="1"/>
      <sheetData sheetId="4" refreshError="1"/>
      <sheetData sheetId="5" refreshError="1">
        <row r="21">
          <cell r="C21" t="str">
            <v>ALMIRANTE A. ABAD</v>
          </cell>
        </row>
        <row r="34">
          <cell r="J34">
            <v>0</v>
          </cell>
        </row>
        <row r="35">
          <cell r="J35">
            <v>0</v>
          </cell>
        </row>
        <row r="98">
          <cell r="J98">
            <v>0</v>
          </cell>
        </row>
        <row r="101">
          <cell r="AI101">
            <v>0</v>
          </cell>
          <cell r="AK10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49"/>
  <sheetViews>
    <sheetView topLeftCell="A4" zoomScale="80" zoomScaleNormal="80" workbookViewId="0">
      <selection activeCell="E21" sqref="E21"/>
    </sheetView>
  </sheetViews>
  <sheetFormatPr defaultColWidth="9.33203125" defaultRowHeight="13.8"/>
  <cols>
    <col min="1" max="1" width="10.109375" style="484" customWidth="1"/>
    <col min="2" max="2" width="1.33203125" style="484" customWidth="1"/>
    <col min="3" max="3" width="1" style="484" customWidth="1"/>
    <col min="4" max="4" width="0.109375" style="484" customWidth="1"/>
    <col min="5" max="5" width="36" style="484" customWidth="1"/>
    <col min="6" max="6" width="13.33203125" style="484" customWidth="1"/>
    <col min="7" max="7" width="3.44140625" style="484" customWidth="1"/>
    <col min="8" max="8" width="4.44140625" style="484" customWidth="1"/>
    <col min="9" max="9" width="3.77734375" style="484" customWidth="1"/>
    <col min="10" max="10" width="5.77734375" style="484" customWidth="1"/>
    <col min="11" max="11" width="20.6640625" style="484" customWidth="1"/>
    <col min="12" max="12" width="18.44140625" style="484" customWidth="1"/>
    <col min="13" max="13" width="14.33203125" style="484" customWidth="1"/>
    <col min="14" max="16384" width="9.33203125" style="484"/>
  </cols>
  <sheetData>
    <row r="3" spans="1:11">
      <c r="A3" s="981" t="s">
        <v>0</v>
      </c>
      <c r="B3" s="982"/>
      <c r="C3" s="982"/>
      <c r="D3" s="982"/>
      <c r="E3" s="982"/>
      <c r="F3" s="982"/>
      <c r="G3" s="982"/>
      <c r="H3" s="982"/>
      <c r="I3" s="982"/>
      <c r="J3" s="982"/>
      <c r="K3" s="983"/>
    </row>
    <row r="4" spans="1:11" ht="15.6">
      <c r="A4" s="984" t="s">
        <v>1</v>
      </c>
      <c r="B4" s="985"/>
      <c r="C4" s="985"/>
      <c r="D4" s="985"/>
      <c r="E4" s="985"/>
      <c r="F4" s="985"/>
      <c r="G4" s="985"/>
      <c r="H4" s="985"/>
      <c r="I4" s="985"/>
      <c r="J4" s="985"/>
      <c r="K4" s="986"/>
    </row>
    <row r="5" spans="1:11">
      <c r="A5" s="487"/>
      <c r="B5" s="488"/>
      <c r="C5" s="488"/>
      <c r="D5" s="488"/>
      <c r="E5" s="488"/>
      <c r="F5" s="488"/>
      <c r="G5" s="488"/>
      <c r="H5" s="488"/>
      <c r="I5" s="488"/>
      <c r="J5" s="488"/>
      <c r="K5" s="494"/>
    </row>
    <row r="6" spans="1:11">
      <c r="A6" s="998" t="s">
        <v>2</v>
      </c>
      <c r="B6" s="999"/>
      <c r="C6" s="1000"/>
      <c r="D6" s="1000"/>
      <c r="E6" s="1000"/>
      <c r="F6" s="1001"/>
      <c r="G6" s="987"/>
      <c r="H6" s="987"/>
      <c r="I6" s="987"/>
      <c r="J6" s="987"/>
      <c r="K6" s="988"/>
    </row>
    <row r="7" spans="1:11">
      <c r="A7" s="1002"/>
      <c r="B7" s="1003"/>
      <c r="C7" s="1003"/>
      <c r="D7" s="1003"/>
      <c r="E7" s="1003"/>
      <c r="F7" s="1004"/>
      <c r="K7" s="492"/>
    </row>
    <row r="8" spans="1:11">
      <c r="A8" s="1005"/>
      <c r="B8" s="1006"/>
      <c r="C8" s="1006"/>
      <c r="D8" s="1006"/>
      <c r="E8" s="1006"/>
      <c r="F8" s="1007"/>
      <c r="G8" s="488"/>
      <c r="H8" s="488"/>
      <c r="I8" s="488"/>
      <c r="J8" s="488"/>
      <c r="K8" s="494"/>
    </row>
    <row r="9" spans="1:11">
      <c r="A9" s="489" t="s">
        <v>3</v>
      </c>
      <c r="E9" s="1008" t="s">
        <v>4</v>
      </c>
      <c r="F9" s="993"/>
      <c r="G9" s="993"/>
      <c r="H9" s="993"/>
      <c r="I9" s="993"/>
      <c r="J9" s="993"/>
      <c r="K9" s="994"/>
    </row>
    <row r="10" spans="1:11">
      <c r="A10" s="487"/>
      <c r="B10" s="488"/>
      <c r="C10" s="488"/>
      <c r="D10" s="488"/>
      <c r="E10" s="995"/>
      <c r="F10" s="996"/>
      <c r="G10" s="996"/>
      <c r="H10" s="996"/>
      <c r="I10" s="996"/>
      <c r="J10" s="996"/>
      <c r="K10" s="997"/>
    </row>
    <row r="11" spans="1:11">
      <c r="A11" s="485" t="s">
        <v>5</v>
      </c>
      <c r="E11" s="992" t="s">
        <v>6</v>
      </c>
      <c r="F11" s="993"/>
      <c r="G11" s="993"/>
      <c r="H11" s="993"/>
      <c r="I11" s="993"/>
      <c r="J11" s="993"/>
      <c r="K11" s="994"/>
    </row>
    <row r="12" spans="1:11">
      <c r="A12" s="487"/>
      <c r="B12" s="488"/>
      <c r="C12" s="488"/>
      <c r="D12" s="488"/>
      <c r="E12" s="995"/>
      <c r="F12" s="996"/>
      <c r="G12" s="996"/>
      <c r="H12" s="996"/>
      <c r="I12" s="996"/>
      <c r="J12" s="996"/>
      <c r="K12" s="997"/>
    </row>
    <row r="13" spans="1:11">
      <c r="A13" s="485" t="s">
        <v>7</v>
      </c>
      <c r="E13" s="1009" t="s">
        <v>8</v>
      </c>
      <c r="F13" s="1010"/>
      <c r="G13" s="1010"/>
      <c r="H13" s="1010"/>
      <c r="I13" s="1010"/>
      <c r="J13" s="1010"/>
      <c r="K13" s="1011"/>
    </row>
    <row r="14" spans="1:11">
      <c r="A14" s="487"/>
      <c r="E14" s="1012"/>
      <c r="F14" s="1013"/>
      <c r="G14" s="1013"/>
      <c r="H14" s="1013"/>
      <c r="I14" s="1013"/>
      <c r="J14" s="1013"/>
      <c r="K14" s="1014"/>
    </row>
    <row r="15" spans="1:11">
      <c r="A15" s="989" t="s">
        <v>9</v>
      </c>
      <c r="B15" s="990"/>
      <c r="C15" s="990"/>
      <c r="D15" s="991"/>
      <c r="E15" s="1021" t="s">
        <v>10</v>
      </c>
      <c r="F15" s="1023" t="s">
        <v>11</v>
      </c>
      <c r="G15" s="982" t="s">
        <v>12</v>
      </c>
      <c r="H15" s="982"/>
      <c r="I15" s="982"/>
      <c r="J15" s="982"/>
      <c r="K15" s="1025" t="s">
        <v>13</v>
      </c>
    </row>
    <row r="16" spans="1:11">
      <c r="A16" s="1039" t="s">
        <v>14</v>
      </c>
      <c r="B16" s="1040"/>
      <c r="C16" s="1040"/>
      <c r="D16" s="1041"/>
      <c r="E16" s="1022"/>
      <c r="F16" s="1024"/>
      <c r="G16" s="1042" t="s">
        <v>15</v>
      </c>
      <c r="H16" s="1042"/>
      <c r="I16" s="1042"/>
      <c r="J16" s="1042"/>
      <c r="K16" s="1026"/>
    </row>
    <row r="17" spans="1:12">
      <c r="A17" s="489"/>
      <c r="B17" s="490"/>
      <c r="C17" s="490"/>
      <c r="D17" s="491"/>
      <c r="F17" s="485"/>
      <c r="G17" s="489"/>
      <c r="K17" s="559"/>
    </row>
    <row r="18" spans="1:12">
      <c r="A18" s="485"/>
      <c r="D18" s="492"/>
      <c r="F18" s="485"/>
      <c r="G18" s="485"/>
      <c r="K18" s="560"/>
    </row>
    <row r="19" spans="1:12" ht="15.6">
      <c r="A19" s="1027">
        <v>8711</v>
      </c>
      <c r="B19" s="1028"/>
      <c r="C19" s="1028"/>
      <c r="D19" s="1029"/>
      <c r="E19" s="545" t="s">
        <v>16</v>
      </c>
      <c r="F19" s="652" t="s">
        <v>639</v>
      </c>
      <c r="G19" s="546">
        <v>5</v>
      </c>
      <c r="H19" s="547" t="s">
        <v>17</v>
      </c>
      <c r="I19" s="119" t="s">
        <v>17</v>
      </c>
      <c r="J19" s="119" t="s">
        <v>18</v>
      </c>
      <c r="K19" s="561">
        <f>'payroll(FEB)'!E46</f>
        <v>1538150</v>
      </c>
      <c r="L19" s="496" t="s">
        <v>19</v>
      </c>
    </row>
    <row r="20" spans="1:12" ht="15.6">
      <c r="A20" s="485"/>
      <c r="D20" s="492"/>
      <c r="E20" s="734" t="s">
        <v>704</v>
      </c>
      <c r="F20" s="654" t="s">
        <v>641</v>
      </c>
      <c r="G20" s="546">
        <v>5</v>
      </c>
      <c r="H20" s="547" t="s">
        <v>17</v>
      </c>
      <c r="I20" s="119" t="s">
        <v>20</v>
      </c>
      <c r="J20" s="119" t="s">
        <v>18</v>
      </c>
      <c r="K20" s="562">
        <f>'payroll(FEB)'!G46</f>
        <v>184577.99999999997</v>
      </c>
      <c r="L20" s="484" t="s">
        <v>21</v>
      </c>
    </row>
    <row r="21" spans="1:12">
      <c r="A21" s="485"/>
      <c r="C21" s="492"/>
      <c r="E21" s="548" t="s">
        <v>65</v>
      </c>
      <c r="F21" s="653" t="s">
        <v>640</v>
      </c>
      <c r="G21" s="546">
        <v>5</v>
      </c>
      <c r="H21" s="547" t="s">
        <v>17</v>
      </c>
      <c r="I21" s="119" t="s">
        <v>20</v>
      </c>
      <c r="J21" s="119" t="s">
        <v>23</v>
      </c>
      <c r="K21" s="562">
        <f>'PAG-IBIG'!I70</f>
        <v>7200</v>
      </c>
      <c r="L21" s="484" t="s">
        <v>24</v>
      </c>
    </row>
    <row r="22" spans="1:12">
      <c r="A22" s="485"/>
      <c r="D22" s="492"/>
      <c r="E22" s="549"/>
      <c r="F22" s="485"/>
      <c r="G22" s="546">
        <v>5</v>
      </c>
      <c r="H22" s="547" t="s">
        <v>17</v>
      </c>
      <c r="I22" s="119" t="s">
        <v>20</v>
      </c>
      <c r="J22" s="119" t="s">
        <v>25</v>
      </c>
      <c r="K22" s="562">
        <f>'PHIC (1)'!X50</f>
        <v>37646.789999999994</v>
      </c>
      <c r="L22" s="484" t="s">
        <v>26</v>
      </c>
    </row>
    <row r="23" spans="1:12">
      <c r="A23" s="485"/>
      <c r="D23" s="492"/>
      <c r="E23" s="549"/>
      <c r="F23" s="485"/>
      <c r="G23" s="546">
        <v>5</v>
      </c>
      <c r="H23" s="547" t="s">
        <v>17</v>
      </c>
      <c r="I23" s="119" t="s">
        <v>20</v>
      </c>
      <c r="J23" s="119" t="s">
        <v>27</v>
      </c>
      <c r="K23" s="562">
        <f>'payroll(FEB)'!H46</f>
        <v>3600</v>
      </c>
      <c r="L23" s="484" t="s">
        <v>28</v>
      </c>
    </row>
    <row r="24" spans="1:12" hidden="1">
      <c r="A24" s="485"/>
      <c r="D24" s="492"/>
      <c r="E24" s="549"/>
      <c r="F24" s="485"/>
      <c r="G24" s="546">
        <v>5</v>
      </c>
      <c r="H24" s="547" t="s">
        <v>17</v>
      </c>
      <c r="I24" s="119">
        <v>2</v>
      </c>
      <c r="J24" s="119" t="s">
        <v>18</v>
      </c>
      <c r="K24" s="562"/>
    </row>
    <row r="25" spans="1:12">
      <c r="A25" s="485"/>
      <c r="D25" s="492"/>
      <c r="F25" s="485"/>
      <c r="G25" s="504">
        <v>5</v>
      </c>
      <c r="H25" s="547" t="s">
        <v>17</v>
      </c>
      <c r="I25" s="563" t="s">
        <v>29</v>
      </c>
      <c r="J25" s="563" t="s">
        <v>18</v>
      </c>
      <c r="K25" s="562">
        <f>'payroll(FEB)'!AC46</f>
        <v>72000</v>
      </c>
      <c r="L25" s="484" t="s">
        <v>30</v>
      </c>
    </row>
    <row r="26" spans="1:12">
      <c r="A26" s="485"/>
      <c r="D26" s="492"/>
      <c r="E26" s="550"/>
      <c r="F26" s="485"/>
      <c r="G26" s="551">
        <v>5</v>
      </c>
      <c r="H26" s="552" t="s">
        <v>17</v>
      </c>
      <c r="I26" s="552" t="s">
        <v>29</v>
      </c>
      <c r="J26" s="552" t="s">
        <v>23</v>
      </c>
      <c r="K26" s="562">
        <f>'payroll(FEB)'!AD46</f>
        <v>9500</v>
      </c>
      <c r="L26" s="484" t="s">
        <v>31</v>
      </c>
    </row>
    <row r="27" spans="1:12">
      <c r="A27" s="485"/>
      <c r="D27" s="492"/>
      <c r="F27" s="485"/>
      <c r="G27" s="551" t="s">
        <v>32</v>
      </c>
      <c r="H27" s="552" t="s">
        <v>17</v>
      </c>
      <c r="I27" s="552" t="s">
        <v>29</v>
      </c>
      <c r="J27" s="552" t="s">
        <v>25</v>
      </c>
      <c r="K27" s="562">
        <f>'payroll(FEB)'!AE46</f>
        <v>9500</v>
      </c>
      <c r="L27" s="484" t="s">
        <v>33</v>
      </c>
    </row>
    <row r="28" spans="1:12">
      <c r="A28" s="485"/>
      <c r="D28" s="492"/>
      <c r="F28" s="485"/>
      <c r="G28" s="546"/>
      <c r="H28" s="547"/>
      <c r="I28" s="119"/>
      <c r="J28" s="119"/>
      <c r="K28" s="564"/>
    </row>
    <row r="29" spans="1:12">
      <c r="A29" s="485"/>
      <c r="D29" s="492"/>
      <c r="F29" s="485"/>
      <c r="G29" s="504"/>
      <c r="H29" s="547"/>
      <c r="I29" s="563"/>
      <c r="J29" s="563"/>
      <c r="K29" s="565"/>
    </row>
    <row r="30" spans="1:12">
      <c r="A30" s="487"/>
      <c r="B30" s="488"/>
      <c r="C30" s="488"/>
      <c r="D30" s="494"/>
      <c r="E30" s="553"/>
      <c r="F30" s="487"/>
      <c r="G30" s="487"/>
      <c r="K30" s="566"/>
      <c r="L30" s="496"/>
    </row>
    <row r="31" spans="1:12">
      <c r="A31" s="499"/>
      <c r="B31" s="500"/>
      <c r="C31" s="500"/>
      <c r="D31" s="500"/>
      <c r="E31" s="500"/>
      <c r="F31" s="500"/>
      <c r="G31" s="554"/>
      <c r="H31" s="554"/>
      <c r="I31" s="554"/>
      <c r="J31" s="554"/>
      <c r="K31" s="567">
        <f>SUM(K19:K27)</f>
        <v>1862174.79</v>
      </c>
      <c r="L31" s="496"/>
    </row>
    <row r="32" spans="1:12">
      <c r="A32" s="489" t="s">
        <v>34</v>
      </c>
      <c r="F32" s="489" t="s">
        <v>35</v>
      </c>
      <c r="K32" s="491"/>
    </row>
    <row r="33" spans="1:11" ht="12" customHeight="1">
      <c r="A33" s="485"/>
      <c r="B33" s="493"/>
      <c r="C33" s="555"/>
      <c r="D33" s="484" t="s">
        <v>36</v>
      </c>
      <c r="F33" s="485"/>
      <c r="K33" s="492"/>
    </row>
    <row r="34" spans="1:11">
      <c r="A34" s="485"/>
      <c r="D34" s="484" t="s">
        <v>37</v>
      </c>
      <c r="F34" s="1015" t="s">
        <v>38</v>
      </c>
      <c r="G34" s="1016"/>
      <c r="H34" s="1016"/>
      <c r="I34" s="1016"/>
      <c r="J34" s="1016"/>
      <c r="K34" s="1017"/>
    </row>
    <row r="35" spans="1:11">
      <c r="A35" s="485"/>
      <c r="D35" s="484" t="s">
        <v>39</v>
      </c>
      <c r="F35" s="485"/>
      <c r="K35" s="492"/>
    </row>
    <row r="36" spans="1:11" ht="12" customHeight="1">
      <c r="A36" s="485"/>
      <c r="B36" s="493"/>
      <c r="C36" s="485"/>
      <c r="D36" s="484" t="s">
        <v>40</v>
      </c>
      <c r="F36" s="485"/>
      <c r="K36" s="492"/>
    </row>
    <row r="37" spans="1:11">
      <c r="A37" s="487"/>
      <c r="B37" s="488"/>
      <c r="C37" s="488"/>
      <c r="D37" s="488" t="s">
        <v>41</v>
      </c>
      <c r="E37" s="488"/>
      <c r="F37" s="487"/>
      <c r="G37" s="488"/>
      <c r="H37" s="488"/>
      <c r="I37" s="488"/>
      <c r="J37" s="488"/>
      <c r="K37" s="494"/>
    </row>
    <row r="38" spans="1:11">
      <c r="A38" s="489"/>
      <c r="B38" s="490"/>
      <c r="C38" s="490"/>
      <c r="D38" s="490"/>
      <c r="E38" s="491"/>
      <c r="F38" s="489"/>
      <c r="G38" s="490"/>
      <c r="H38" s="490"/>
      <c r="I38" s="490"/>
      <c r="J38" s="490"/>
      <c r="K38" s="491"/>
    </row>
    <row r="39" spans="1:11">
      <c r="A39" s="485"/>
      <c r="E39" s="492"/>
      <c r="F39" s="485"/>
      <c r="K39" s="492"/>
    </row>
    <row r="40" spans="1:11">
      <c r="A40" s="1043"/>
      <c r="B40" s="1044"/>
      <c r="C40" s="1044"/>
      <c r="D40" s="1044"/>
      <c r="E40" s="1045"/>
      <c r="F40" s="485"/>
      <c r="K40" s="492"/>
    </row>
    <row r="41" spans="1:11">
      <c r="A41" s="556"/>
      <c r="B41" s="557"/>
      <c r="C41" s="557"/>
      <c r="D41" s="557"/>
      <c r="E41" s="558"/>
      <c r="F41" s="485"/>
      <c r="K41" s="492"/>
    </row>
    <row r="42" spans="1:11">
      <c r="A42" s="556"/>
      <c r="B42" s="557"/>
      <c r="C42" s="557"/>
      <c r="D42" s="557"/>
      <c r="E42" s="558"/>
      <c r="F42" s="485"/>
      <c r="K42" s="492"/>
    </row>
    <row r="43" spans="1:11">
      <c r="A43" s="556"/>
      <c r="B43" s="557"/>
      <c r="C43" s="557"/>
      <c r="D43" s="557"/>
      <c r="E43" s="558"/>
      <c r="F43" s="485"/>
      <c r="K43" s="492"/>
    </row>
    <row r="44" spans="1:11" ht="15.6">
      <c r="A44" s="984" t="s">
        <v>42</v>
      </c>
      <c r="B44" s="985"/>
      <c r="C44" s="985"/>
      <c r="D44" s="985"/>
      <c r="E44" s="986"/>
      <c r="F44" s="984" t="s">
        <v>43</v>
      </c>
      <c r="G44" s="985"/>
      <c r="H44" s="985"/>
      <c r="I44" s="985"/>
      <c r="J44" s="985"/>
      <c r="K44" s="986"/>
    </row>
    <row r="45" spans="1:11" ht="15.6">
      <c r="A45" s="1027" t="s">
        <v>44</v>
      </c>
      <c r="B45" s="1028"/>
      <c r="C45" s="1028"/>
      <c r="D45" s="1028"/>
      <c r="E45" s="1029"/>
      <c r="F45" s="1030" t="s">
        <v>45</v>
      </c>
      <c r="G45" s="1031"/>
      <c r="H45" s="1031"/>
      <c r="I45" s="1031"/>
      <c r="J45" s="1031"/>
      <c r="K45" s="1032"/>
    </row>
    <row r="46" spans="1:11">
      <c r="A46" s="1033"/>
      <c r="B46" s="1034"/>
      <c r="C46" s="1034"/>
      <c r="D46" s="1034"/>
      <c r="E46" s="1035"/>
      <c r="F46" s="1036"/>
      <c r="G46" s="1037"/>
      <c r="H46" s="1037"/>
      <c r="I46" s="1037"/>
      <c r="J46" s="1037"/>
      <c r="K46" s="1038"/>
    </row>
    <row r="47" spans="1:11">
      <c r="A47" s="485"/>
      <c r="E47" s="492"/>
      <c r="F47" s="485"/>
      <c r="K47" s="492"/>
    </row>
    <row r="48" spans="1:11">
      <c r="A48" s="485"/>
      <c r="C48" s="484" t="s">
        <v>46</v>
      </c>
      <c r="E48" s="492"/>
      <c r="F48" s="1015" t="s">
        <v>47</v>
      </c>
      <c r="G48" s="1016"/>
      <c r="H48" s="1016"/>
      <c r="I48" s="1016"/>
      <c r="J48" s="1016"/>
      <c r="K48" s="1017"/>
    </row>
    <row r="49" spans="1:11">
      <c r="A49" s="487"/>
      <c r="B49" s="488"/>
      <c r="C49" s="488"/>
      <c r="D49" s="488"/>
      <c r="E49" s="494"/>
      <c r="F49" s="1018" t="s">
        <v>48</v>
      </c>
      <c r="G49" s="1019"/>
      <c r="H49" s="1019"/>
      <c r="I49" s="1019"/>
      <c r="J49" s="1019"/>
      <c r="K49" s="1020"/>
    </row>
  </sheetData>
  <mergeCells count="25">
    <mergeCell ref="F48:K48"/>
    <mergeCell ref="F49:K49"/>
    <mergeCell ref="E15:E16"/>
    <mergeCell ref="F15:F16"/>
    <mergeCell ref="K15:K16"/>
    <mergeCell ref="A44:E44"/>
    <mergeCell ref="F44:K44"/>
    <mergeCell ref="A45:E45"/>
    <mergeCell ref="F45:K45"/>
    <mergeCell ref="A46:E46"/>
    <mergeCell ref="F46:K46"/>
    <mergeCell ref="A16:D16"/>
    <mergeCell ref="G16:J16"/>
    <mergeCell ref="A19:D19"/>
    <mergeCell ref="F34:K34"/>
    <mergeCell ref="A40:E40"/>
    <mergeCell ref="A3:K3"/>
    <mergeCell ref="A4:K4"/>
    <mergeCell ref="G6:K6"/>
    <mergeCell ref="A15:D15"/>
    <mergeCell ref="G15:J15"/>
    <mergeCell ref="E11:K12"/>
    <mergeCell ref="A6:F8"/>
    <mergeCell ref="E9:K10"/>
    <mergeCell ref="E13:K14"/>
  </mergeCells>
  <printOptions horizontalCentered="1"/>
  <pageMargins left="0.34" right="0.26" top="0.43" bottom="1" header="0.26"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4"/>
  <sheetViews>
    <sheetView view="pageBreakPreview" topLeftCell="A4" zoomScaleNormal="100" workbookViewId="0">
      <selection activeCell="A19" sqref="A19"/>
    </sheetView>
  </sheetViews>
  <sheetFormatPr defaultColWidth="9.33203125" defaultRowHeight="13.8"/>
  <cols>
    <col min="1" max="1" width="7" style="484" customWidth="1"/>
    <col min="2" max="2" width="3.44140625" style="484" customWidth="1"/>
    <col min="3" max="3" width="1.77734375" style="484" customWidth="1"/>
    <col min="4" max="4" width="4.6640625" style="484" customWidth="1"/>
    <col min="5" max="5" width="11.77734375" style="484" customWidth="1"/>
    <col min="6" max="6" width="17.77734375" style="484" customWidth="1"/>
    <col min="7" max="7" width="0.77734375" style="484" customWidth="1"/>
    <col min="8" max="8" width="4.6640625" style="484" customWidth="1"/>
    <col min="9" max="9" width="1" style="484" customWidth="1"/>
    <col min="10" max="10" width="7.44140625" style="484" customWidth="1"/>
    <col min="11" max="11" width="6.6640625" style="484" customWidth="1"/>
    <col min="12" max="12" width="2.6640625" style="484" customWidth="1"/>
    <col min="13" max="13" width="3.77734375" style="484" customWidth="1"/>
    <col min="14" max="14" width="6.6640625" style="484" customWidth="1"/>
    <col min="15" max="15" width="1.33203125" style="485" customWidth="1"/>
    <col min="16" max="16" width="31.77734375" style="484" customWidth="1"/>
    <col min="17" max="17" width="12.109375" style="484" customWidth="1"/>
    <col min="18" max="18" width="17.33203125" style="486" customWidth="1"/>
    <col min="19" max="19" width="18.109375" style="484" customWidth="1"/>
    <col min="20" max="20" width="13.44140625" style="484" customWidth="1"/>
    <col min="21" max="16384" width="9.33203125" style="484"/>
  </cols>
  <sheetData>
    <row r="1" spans="1:16">
      <c r="A1" s="981" t="s">
        <v>0</v>
      </c>
      <c r="B1" s="982"/>
      <c r="C1" s="982"/>
      <c r="D1" s="982"/>
      <c r="E1" s="982"/>
      <c r="F1" s="982"/>
      <c r="G1" s="982"/>
      <c r="H1" s="982"/>
      <c r="I1" s="982"/>
      <c r="J1" s="982"/>
      <c r="K1" s="982"/>
      <c r="L1" s="982"/>
      <c r="M1" s="982"/>
      <c r="N1" s="982"/>
      <c r="O1" s="982"/>
      <c r="P1" s="983"/>
    </row>
    <row r="2" spans="1:16" ht="14.4">
      <c r="A2" s="1046" t="s">
        <v>1</v>
      </c>
      <c r="B2" s="1047"/>
      <c r="C2" s="1047"/>
      <c r="D2" s="1047"/>
      <c r="E2" s="1047"/>
      <c r="F2" s="1047"/>
      <c r="G2" s="1047"/>
      <c r="H2" s="1047"/>
      <c r="I2" s="1047"/>
      <c r="J2" s="1047"/>
      <c r="K2" s="1047"/>
      <c r="L2" s="1047"/>
      <c r="M2" s="1047"/>
      <c r="N2" s="1047"/>
      <c r="O2" s="1047"/>
      <c r="P2" s="1048"/>
    </row>
    <row r="3" spans="1:16">
      <c r="A3" s="487"/>
      <c r="B3" s="488"/>
      <c r="C3" s="488"/>
      <c r="D3" s="488"/>
      <c r="E3" s="488"/>
      <c r="F3" s="488"/>
      <c r="G3" s="488"/>
      <c r="H3" s="488"/>
      <c r="I3" s="488"/>
      <c r="J3" s="488"/>
      <c r="K3" s="488"/>
      <c r="L3" s="488"/>
      <c r="M3" s="488"/>
      <c r="N3" s="488"/>
      <c r="O3" s="488"/>
      <c r="P3" s="494"/>
    </row>
    <row r="4" spans="1:16">
      <c r="A4" s="671"/>
      <c r="B4" s="672"/>
      <c r="C4" s="672"/>
      <c r="D4" s="672"/>
      <c r="E4" s="672"/>
      <c r="F4" s="672"/>
      <c r="G4" s="672"/>
      <c r="H4" s="672"/>
      <c r="I4" s="672"/>
      <c r="J4" s="672"/>
      <c r="K4" s="673"/>
      <c r="L4" s="672"/>
      <c r="M4" s="672"/>
      <c r="N4" s="672"/>
      <c r="O4" s="672"/>
      <c r="P4" s="673"/>
    </row>
    <row r="5" spans="1:16" ht="15.6">
      <c r="A5" s="984" t="s">
        <v>49</v>
      </c>
      <c r="B5" s="985"/>
      <c r="C5" s="985"/>
      <c r="D5" s="985"/>
      <c r="E5" s="985"/>
      <c r="F5" s="985"/>
      <c r="G5" s="985"/>
      <c r="H5" s="985"/>
      <c r="I5" s="985"/>
      <c r="J5" s="985"/>
      <c r="K5" s="986"/>
      <c r="M5" s="484" t="s">
        <v>50</v>
      </c>
      <c r="O5" s="484"/>
      <c r="P5" s="492"/>
    </row>
    <row r="6" spans="1:16">
      <c r="A6" s="485"/>
      <c r="K6" s="494"/>
      <c r="N6" s="488"/>
      <c r="O6" s="488"/>
      <c r="P6" s="492"/>
    </row>
    <row r="7" spans="1:16" ht="6" customHeight="1">
      <c r="A7" s="671"/>
      <c r="B7" s="673"/>
      <c r="C7" s="672"/>
      <c r="D7" s="672"/>
      <c r="E7" s="672"/>
      <c r="F7" s="672"/>
      <c r="G7" s="672"/>
      <c r="H7" s="672"/>
      <c r="I7" s="672"/>
      <c r="J7" s="672"/>
      <c r="K7" s="672"/>
      <c r="L7" s="672"/>
      <c r="M7" s="672"/>
      <c r="N7" s="672"/>
      <c r="O7" s="672"/>
      <c r="P7" s="673"/>
    </row>
    <row r="8" spans="1:16" ht="12.75" customHeight="1">
      <c r="A8" s="485" t="s">
        <v>51</v>
      </c>
      <c r="B8" s="492"/>
      <c r="D8" s="674"/>
      <c r="E8" s="484" t="s">
        <v>52</v>
      </c>
      <c r="H8" s="674"/>
      <c r="J8" s="484" t="s">
        <v>53</v>
      </c>
      <c r="N8" s="674"/>
      <c r="O8" s="484"/>
      <c r="P8" s="492" t="s">
        <v>54</v>
      </c>
    </row>
    <row r="9" spans="1:16">
      <c r="A9" s="487" t="s">
        <v>55</v>
      </c>
      <c r="B9" s="494"/>
      <c r="O9" s="488"/>
      <c r="P9" s="492"/>
    </row>
    <row r="10" spans="1:16">
      <c r="A10" s="671"/>
      <c r="B10" s="673"/>
      <c r="C10" s="672"/>
      <c r="D10" s="672"/>
      <c r="E10" s="672"/>
      <c r="F10" s="673"/>
      <c r="G10" s="671"/>
      <c r="H10" s="672" t="s">
        <v>56</v>
      </c>
      <c r="I10" s="672"/>
      <c r="J10" s="672"/>
      <c r="K10" s="673"/>
      <c r="L10" s="671"/>
      <c r="M10" s="672"/>
      <c r="N10" s="672" t="s">
        <v>57</v>
      </c>
      <c r="O10" s="671"/>
      <c r="P10" s="673"/>
    </row>
    <row r="11" spans="1:16">
      <c r="A11" s="487" t="s">
        <v>3</v>
      </c>
      <c r="B11" s="494"/>
      <c r="C11" s="1049" t="s">
        <v>4</v>
      </c>
      <c r="D11" s="1042"/>
      <c r="E11" s="1042"/>
      <c r="F11" s="1050"/>
      <c r="G11" s="485"/>
      <c r="K11" s="492"/>
      <c r="L11" s="485"/>
      <c r="P11" s="492"/>
    </row>
    <row r="12" spans="1:16">
      <c r="A12" s="485"/>
      <c r="B12" s="492"/>
      <c r="F12" s="492"/>
      <c r="G12" s="1051" t="s">
        <v>58</v>
      </c>
      <c r="H12" s="1052"/>
      <c r="I12" s="1052"/>
      <c r="J12" s="1052"/>
      <c r="K12" s="1052"/>
      <c r="L12" s="1052"/>
      <c r="M12" s="1052"/>
      <c r="N12" s="1052"/>
      <c r="O12" s="1052"/>
      <c r="P12" s="1053"/>
    </row>
    <row r="13" spans="1:16">
      <c r="A13" s="485" t="s">
        <v>7</v>
      </c>
      <c r="B13" s="492"/>
      <c r="D13" s="1054" t="s">
        <v>59</v>
      </c>
      <c r="E13" s="1054"/>
      <c r="F13" s="1055"/>
      <c r="G13" s="671"/>
      <c r="H13" s="672" t="s">
        <v>60</v>
      </c>
      <c r="I13" s="672"/>
      <c r="J13" s="672"/>
      <c r="K13" s="673"/>
      <c r="L13" s="671"/>
      <c r="M13" s="672" t="s">
        <v>15</v>
      </c>
      <c r="N13" s="672"/>
      <c r="O13" s="671"/>
      <c r="P13" s="673"/>
    </row>
    <row r="14" spans="1:16">
      <c r="A14" s="485"/>
      <c r="B14" s="492"/>
      <c r="F14" s="492"/>
      <c r="G14" s="485"/>
      <c r="H14" s="1056" t="s">
        <v>61</v>
      </c>
      <c r="I14" s="1056"/>
      <c r="J14" s="1056"/>
      <c r="K14" s="1057"/>
      <c r="L14" s="485"/>
      <c r="M14" s="1056">
        <v>8711</v>
      </c>
      <c r="N14" s="1056"/>
      <c r="O14" s="1056"/>
      <c r="P14" s="1057"/>
    </row>
    <row r="15" spans="1:16">
      <c r="A15" s="1058" t="s">
        <v>62</v>
      </c>
      <c r="B15" s="1059"/>
      <c r="C15" s="1059"/>
      <c r="D15" s="1059"/>
      <c r="E15" s="1059"/>
      <c r="F15" s="1059"/>
      <c r="G15" s="1059"/>
      <c r="H15" s="1059"/>
      <c r="I15" s="1059"/>
      <c r="J15" s="1059"/>
      <c r="K15" s="1059"/>
      <c r="L15" s="1059"/>
      <c r="M15" s="1059"/>
      <c r="N15" s="1060"/>
      <c r="O15" s="675"/>
      <c r="P15" s="676" t="s">
        <v>63</v>
      </c>
    </row>
    <row r="16" spans="1:16">
      <c r="A16" s="1061"/>
      <c r="B16" s="1062"/>
      <c r="C16" s="1062"/>
      <c r="D16" s="1062"/>
      <c r="E16" s="1062"/>
      <c r="F16" s="1062"/>
      <c r="G16" s="1062"/>
      <c r="H16" s="1062"/>
      <c r="I16" s="1062"/>
      <c r="J16" s="1062"/>
      <c r="K16" s="1062"/>
      <c r="L16" s="1062"/>
      <c r="M16" s="1062"/>
      <c r="N16" s="1063"/>
      <c r="P16" s="511"/>
    </row>
    <row r="17" spans="1:20">
      <c r="A17" s="646"/>
      <c r="B17" s="647"/>
      <c r="C17" s="647"/>
      <c r="D17" s="647"/>
      <c r="E17" s="647"/>
      <c r="F17" s="643"/>
      <c r="G17" s="643"/>
      <c r="H17" s="643"/>
      <c r="I17" s="643"/>
      <c r="J17" s="643"/>
      <c r="K17" s="512"/>
      <c r="L17" s="643"/>
      <c r="M17" s="643"/>
      <c r="N17" s="644"/>
      <c r="P17" s="511"/>
    </row>
    <row r="18" spans="1:20">
      <c r="A18" s="1015" t="s">
        <v>703</v>
      </c>
      <c r="B18" s="1016"/>
      <c r="C18" s="1016"/>
      <c r="D18" s="1016"/>
      <c r="E18" s="1016"/>
      <c r="F18" s="1016"/>
      <c r="G18" s="1016"/>
      <c r="H18" s="1016"/>
      <c r="I18" s="1016"/>
      <c r="J18" s="1016"/>
      <c r="K18" s="1016"/>
      <c r="L18" s="1016"/>
      <c r="M18" s="1016"/>
      <c r="N18" s="1017"/>
      <c r="P18" s="513"/>
    </row>
    <row r="19" spans="1:20">
      <c r="A19" s="646"/>
      <c r="B19" s="1064" t="s">
        <v>64</v>
      </c>
      <c r="C19" s="1064"/>
      <c r="D19" s="1064"/>
      <c r="E19" s="1064"/>
      <c r="F19" s="1064"/>
      <c r="G19" s="1064"/>
      <c r="H19" s="1064"/>
      <c r="I19" s="1064"/>
      <c r="J19" s="1064"/>
      <c r="K19" s="1064"/>
      <c r="L19" s="1064"/>
      <c r="M19" s="1064"/>
      <c r="N19" s="644"/>
      <c r="P19" s="513">
        <f>'payroll(FEB)'!AF46</f>
        <v>688361.67000000016</v>
      </c>
    </row>
    <row r="20" spans="1:20">
      <c r="A20" s="646"/>
      <c r="B20" s="1064"/>
      <c r="C20" s="1064"/>
      <c r="D20" s="1064"/>
      <c r="E20" s="1064"/>
      <c r="F20" s="1064"/>
      <c r="G20" s="1064"/>
      <c r="H20" s="1064"/>
      <c r="I20" s="1064"/>
      <c r="J20" s="1064"/>
      <c r="K20" s="1064"/>
      <c r="L20" s="1064"/>
      <c r="M20" s="1064"/>
      <c r="N20" s="644"/>
      <c r="P20" s="513"/>
      <c r="S20" s="484">
        <f>415221-214589.56</f>
        <v>200631.44</v>
      </c>
    </row>
    <row r="21" spans="1:20">
      <c r="A21" s="646"/>
      <c r="B21" s="1064"/>
      <c r="C21" s="1064"/>
      <c r="D21" s="1064"/>
      <c r="E21" s="1064"/>
      <c r="G21" s="1065"/>
      <c r="H21" s="1065"/>
      <c r="I21" s="1065"/>
      <c r="J21" s="1065"/>
      <c r="K21" s="512"/>
      <c r="L21" s="643"/>
      <c r="M21" s="643"/>
      <c r="N21" s="644"/>
      <c r="P21" s="513"/>
    </row>
    <row r="22" spans="1:20">
      <c r="A22" s="646"/>
      <c r="B22" s="1066"/>
      <c r="C22" s="1066"/>
      <c r="D22" s="1066"/>
      <c r="E22" s="1066"/>
      <c r="G22" s="1065"/>
      <c r="H22" s="1065"/>
      <c r="I22" s="1065"/>
      <c r="J22" s="1065"/>
      <c r="K22" s="512"/>
      <c r="L22" s="643"/>
      <c r="M22" s="643"/>
      <c r="N22" s="644"/>
      <c r="P22" s="513"/>
    </row>
    <row r="23" spans="1:20">
      <c r="A23" s="646"/>
      <c r="B23" s="1064"/>
      <c r="C23" s="1064"/>
      <c r="D23" s="1064"/>
      <c r="E23" s="1064"/>
      <c r="F23" s="496"/>
      <c r="G23" s="1065"/>
      <c r="H23" s="1065"/>
      <c r="I23" s="1065"/>
      <c r="J23" s="1065"/>
      <c r="K23" s="512"/>
      <c r="L23" s="643"/>
      <c r="M23" s="643"/>
      <c r="N23" s="644"/>
      <c r="P23" s="513"/>
    </row>
    <row r="24" spans="1:20">
      <c r="A24" s="646"/>
      <c r="B24" s="1064"/>
      <c r="C24" s="1064"/>
      <c r="D24" s="1064"/>
      <c r="E24" s="1064"/>
      <c r="F24" s="643"/>
      <c r="G24" s="1065"/>
      <c r="H24" s="1065"/>
      <c r="I24" s="1065"/>
      <c r="J24" s="1065"/>
      <c r="K24" s="1067"/>
      <c r="L24" s="1067"/>
      <c r="M24" s="1067"/>
      <c r="N24" s="1068"/>
      <c r="P24" s="513"/>
      <c r="T24" s="521">
        <v>156282.14000000001</v>
      </c>
    </row>
    <row r="25" spans="1:20">
      <c r="A25" s="646"/>
      <c r="B25" s="1064"/>
      <c r="C25" s="1064"/>
      <c r="D25" s="1064"/>
      <c r="E25" s="1064"/>
      <c r="F25" s="1064"/>
      <c r="G25" s="1065"/>
      <c r="H25" s="1065"/>
      <c r="I25" s="1065"/>
      <c r="J25" s="1065"/>
      <c r="K25" s="512"/>
      <c r="L25" s="643"/>
      <c r="M25" s="643"/>
      <c r="N25" s="644"/>
      <c r="P25" s="513"/>
    </row>
    <row r="26" spans="1:20">
      <c r="A26" s="646"/>
      <c r="B26" s="1064"/>
      <c r="C26" s="1064"/>
      <c r="D26" s="1064"/>
      <c r="E26" s="1064"/>
      <c r="F26" s="1064"/>
      <c r="G26" s="1065" t="s">
        <v>22</v>
      </c>
      <c r="H26" s="1065"/>
      <c r="I26" s="1065"/>
      <c r="J26" s="1065"/>
      <c r="K26" s="512"/>
      <c r="L26" s="643"/>
      <c r="M26" s="643"/>
      <c r="N26" s="644"/>
      <c r="P26" s="513"/>
    </row>
    <row r="27" spans="1:20">
      <c r="A27" s="646"/>
      <c r="B27" s="1064" t="s">
        <v>22</v>
      </c>
      <c r="C27" s="1064"/>
      <c r="D27" s="1064"/>
      <c r="E27" s="1064"/>
      <c r="F27" s="1064"/>
      <c r="G27" s="645"/>
      <c r="H27" s="1065"/>
      <c r="I27" s="1065"/>
      <c r="J27" s="1065"/>
      <c r="K27" s="512"/>
      <c r="L27" s="643"/>
      <c r="M27" s="643"/>
      <c r="N27" s="644"/>
      <c r="P27" s="513"/>
    </row>
    <row r="28" spans="1:20">
      <c r="A28" s="646"/>
      <c r="B28" s="1064"/>
      <c r="C28" s="1064"/>
      <c r="D28" s="1064"/>
      <c r="E28" s="1064"/>
      <c r="F28" s="1064"/>
      <c r="G28" s="1067"/>
      <c r="H28" s="1067"/>
      <c r="I28" s="1067"/>
      <c r="J28" s="1067"/>
      <c r="K28" s="512"/>
      <c r="L28" s="643"/>
      <c r="M28" s="643"/>
      <c r="N28" s="644"/>
      <c r="P28" s="513"/>
    </row>
    <row r="29" spans="1:20">
      <c r="A29" s="646"/>
      <c r="B29" s="1069"/>
      <c r="C29" s="1069"/>
      <c r="D29" s="1069"/>
      <c r="E29" s="1069"/>
      <c r="F29" s="1069"/>
      <c r="G29" s="1067"/>
      <c r="H29" s="1067"/>
      <c r="I29" s="1067"/>
      <c r="J29" s="1067"/>
      <c r="K29" s="512"/>
      <c r="L29" s="643"/>
      <c r="M29" s="643"/>
      <c r="N29" s="644"/>
      <c r="P29" s="513" t="s">
        <v>65</v>
      </c>
    </row>
    <row r="30" spans="1:20">
      <c r="A30" s="646"/>
      <c r="B30" s="1064"/>
      <c r="C30" s="1064"/>
      <c r="D30" s="1064"/>
      <c r="E30" s="1064"/>
      <c r="F30" s="1064"/>
      <c r="G30" s="1067"/>
      <c r="H30" s="1067"/>
      <c r="I30" s="1067"/>
      <c r="J30" s="1067"/>
      <c r="K30" s="514"/>
      <c r="L30" s="643"/>
      <c r="M30" s="643"/>
      <c r="N30" s="644"/>
      <c r="P30" s="513"/>
      <c r="S30" s="484">
        <v>182986.22</v>
      </c>
    </row>
    <row r="31" spans="1:20">
      <c r="A31" s="646"/>
      <c r="B31" s="647"/>
      <c r="C31" s="647"/>
      <c r="D31" s="647"/>
      <c r="E31" s="647"/>
      <c r="F31" s="643"/>
      <c r="G31" s="1070"/>
      <c r="H31" s="1070"/>
      <c r="I31" s="1070"/>
      <c r="J31" s="1070"/>
      <c r="K31" s="514"/>
      <c r="L31" s="643"/>
      <c r="M31" s="643"/>
      <c r="N31" s="644"/>
      <c r="P31" s="513"/>
      <c r="S31" s="484">
        <v>-181599.06</v>
      </c>
    </row>
    <row r="32" spans="1:20">
      <c r="A32" s="646"/>
      <c r="B32" s="1054"/>
      <c r="C32" s="1054"/>
      <c r="D32" s="1054"/>
      <c r="E32" s="1054"/>
      <c r="F32" s="1054"/>
      <c r="G32" s="1054"/>
      <c r="H32" s="1054"/>
      <c r="I32" s="1054"/>
      <c r="J32" s="1054"/>
      <c r="K32" s="514"/>
      <c r="L32" s="643"/>
      <c r="M32" s="643"/>
      <c r="N32" s="644"/>
      <c r="P32" s="513"/>
      <c r="Q32" s="496" t="e">
        <f>P32-#REF!</f>
        <v>#REF!</v>
      </c>
      <c r="R32" s="486">
        <v>213692.7</v>
      </c>
      <c r="S32" s="484">
        <f>SUM(S30:S31)</f>
        <v>1387.1600000000035</v>
      </c>
    </row>
    <row r="33" spans="1:19">
      <c r="A33" s="487"/>
      <c r="B33" s="497"/>
      <c r="C33" s="497"/>
      <c r="D33" s="497"/>
      <c r="E33" s="497"/>
      <c r="F33" s="488"/>
      <c r="G33" s="498"/>
      <c r="H33" s="498"/>
      <c r="I33" s="498"/>
      <c r="J33" s="498"/>
      <c r="K33" s="515"/>
      <c r="L33" s="498"/>
      <c r="M33" s="488"/>
      <c r="N33" s="494"/>
      <c r="O33" s="487"/>
      <c r="P33" s="516"/>
      <c r="Q33" s="496"/>
      <c r="R33" s="486">
        <f>P32-R32</f>
        <v>-213692.7</v>
      </c>
    </row>
    <row r="34" spans="1:19">
      <c r="A34" s="677"/>
      <c r="B34" s="488"/>
      <c r="C34" s="488"/>
      <c r="D34" s="488"/>
      <c r="E34" s="488"/>
      <c r="F34" s="678"/>
      <c r="G34" s="678"/>
      <c r="H34" s="678"/>
      <c r="I34" s="678"/>
      <c r="J34" s="678"/>
      <c r="K34" s="679"/>
      <c r="L34" s="678"/>
      <c r="M34" s="678"/>
      <c r="N34" s="678"/>
      <c r="O34" s="677"/>
      <c r="P34" s="513">
        <f>'payroll(FEB)'!AF46</f>
        <v>688361.67000000016</v>
      </c>
      <c r="Q34" s="496"/>
    </row>
    <row r="35" spans="1:19">
      <c r="A35" s="680" t="s">
        <v>34</v>
      </c>
      <c r="B35" s="681"/>
      <c r="C35" s="681"/>
      <c r="D35" s="672"/>
      <c r="E35" s="672"/>
      <c r="F35" s="673"/>
      <c r="H35" s="502" t="s">
        <v>35</v>
      </c>
      <c r="O35" s="672"/>
      <c r="P35" s="673" t="s">
        <v>66</v>
      </c>
      <c r="S35" s="484">
        <f>212306.07-212206.22</f>
        <v>99.850000000005821</v>
      </c>
    </row>
    <row r="36" spans="1:19">
      <c r="A36" s="485"/>
      <c r="B36" s="682"/>
      <c r="C36" s="503" t="s">
        <v>67</v>
      </c>
      <c r="F36" s="492"/>
      <c r="H36" s="1016" t="s">
        <v>68</v>
      </c>
      <c r="I36" s="1016"/>
      <c r="J36" s="1016"/>
      <c r="K36" s="1016"/>
      <c r="L36" s="1016"/>
      <c r="M36" s="1016"/>
      <c r="N36" s="1016"/>
      <c r="O36" s="1016"/>
      <c r="P36" s="1017"/>
    </row>
    <row r="37" spans="1:19">
      <c r="A37" s="1071" t="s">
        <v>69</v>
      </c>
      <c r="B37" s="1072"/>
      <c r="C37" s="1072"/>
      <c r="D37" s="1072"/>
      <c r="E37" s="1072"/>
      <c r="F37" s="1073"/>
      <c r="O37" s="484"/>
      <c r="P37" s="492"/>
    </row>
    <row r="38" spans="1:19">
      <c r="A38" s="485"/>
      <c r="B38" s="682"/>
      <c r="C38" s="503" t="s">
        <v>70</v>
      </c>
      <c r="F38" s="492"/>
      <c r="O38" s="484"/>
      <c r="P38" s="492"/>
    </row>
    <row r="39" spans="1:19">
      <c r="A39" s="487"/>
      <c r="B39" s="488"/>
      <c r="C39" s="488"/>
      <c r="D39" s="488"/>
      <c r="E39" s="488"/>
      <c r="F39" s="494"/>
      <c r="G39" s="487"/>
      <c r="H39" s="488"/>
      <c r="I39" s="488"/>
      <c r="J39" s="488"/>
      <c r="K39" s="488"/>
      <c r="L39" s="488"/>
      <c r="M39" s="488"/>
      <c r="N39" s="488"/>
      <c r="O39" s="488"/>
      <c r="P39" s="494"/>
    </row>
    <row r="40" spans="1:19" ht="28.5" customHeight="1">
      <c r="A40" s="671"/>
      <c r="B40" s="672"/>
      <c r="C40" s="672"/>
      <c r="D40" s="672"/>
      <c r="E40" s="672"/>
      <c r="F40" s="673"/>
      <c r="H40" s="672"/>
      <c r="I40" s="672"/>
      <c r="J40" s="672"/>
      <c r="K40" s="672"/>
      <c r="L40" s="672"/>
      <c r="M40" s="672"/>
      <c r="N40" s="672"/>
      <c r="O40" s="672"/>
      <c r="P40" s="673"/>
    </row>
    <row r="41" spans="1:19">
      <c r="A41" s="1074" t="s">
        <v>71</v>
      </c>
      <c r="B41" s="1054"/>
      <c r="C41" s="1054"/>
      <c r="D41" s="1054"/>
      <c r="E41" s="1054"/>
      <c r="F41" s="1055"/>
      <c r="H41" s="1054" t="s">
        <v>72</v>
      </c>
      <c r="I41" s="1054"/>
      <c r="J41" s="1054"/>
      <c r="K41" s="1054"/>
      <c r="L41" s="1054"/>
      <c r="M41" s="1054"/>
      <c r="N41" s="1054"/>
      <c r="O41" s="1054"/>
      <c r="P41" s="1055"/>
    </row>
    <row r="42" spans="1:19">
      <c r="A42" s="1015" t="s">
        <v>73</v>
      </c>
      <c r="B42" s="1016"/>
      <c r="C42" s="1016"/>
      <c r="D42" s="1016"/>
      <c r="E42" s="1016"/>
      <c r="F42" s="1017"/>
      <c r="H42" s="1016" t="s">
        <v>74</v>
      </c>
      <c r="I42" s="1016"/>
      <c r="J42" s="1016"/>
      <c r="K42" s="1016"/>
      <c r="L42" s="1016"/>
      <c r="M42" s="1016"/>
      <c r="N42" s="1016"/>
      <c r="O42" s="1016"/>
      <c r="P42" s="1017"/>
    </row>
    <row r="43" spans="1:19">
      <c r="A43" s="487"/>
      <c r="B43" s="488"/>
      <c r="C43" s="488"/>
      <c r="D43" s="488"/>
      <c r="E43" s="488"/>
      <c r="F43" s="494"/>
      <c r="H43" s="488"/>
      <c r="I43" s="488"/>
      <c r="J43" s="488"/>
      <c r="K43" s="488"/>
      <c r="L43" s="488"/>
      <c r="M43" s="488"/>
      <c r="N43" s="488"/>
      <c r="O43" s="488"/>
      <c r="P43" s="494"/>
    </row>
    <row r="44" spans="1:19">
      <c r="A44" s="677" t="s">
        <v>48</v>
      </c>
      <c r="B44" s="683"/>
      <c r="C44" s="678"/>
      <c r="D44" s="678"/>
      <c r="E44" s="678"/>
      <c r="F44" s="683"/>
      <c r="G44" s="677"/>
      <c r="H44" s="678" t="s">
        <v>48</v>
      </c>
      <c r="I44" s="678"/>
      <c r="J44" s="683"/>
      <c r="K44" s="678"/>
      <c r="L44" s="678"/>
      <c r="M44" s="678"/>
      <c r="N44" s="678"/>
      <c r="O44" s="678"/>
      <c r="P44" s="683"/>
    </row>
    <row r="45" spans="1:19">
      <c r="A45" s="680" t="s">
        <v>75</v>
      </c>
      <c r="B45" s="672"/>
      <c r="C45" s="672"/>
      <c r="D45" s="672"/>
      <c r="E45" s="672"/>
      <c r="F45" s="673"/>
      <c r="G45" s="672"/>
      <c r="H45" s="681" t="s">
        <v>76</v>
      </c>
      <c r="I45" s="672"/>
      <c r="J45" s="672"/>
      <c r="K45" s="672"/>
      <c r="L45" s="672"/>
      <c r="M45" s="672"/>
      <c r="N45" s="672"/>
      <c r="O45" s="672"/>
      <c r="P45" s="673"/>
    </row>
    <row r="46" spans="1:19">
      <c r="A46" s="485"/>
      <c r="G46" s="684" t="s">
        <v>77</v>
      </c>
      <c r="H46" s="685"/>
      <c r="I46" s="685"/>
      <c r="J46" s="685"/>
      <c r="K46" s="684" t="s">
        <v>78</v>
      </c>
      <c r="L46" s="685"/>
      <c r="M46" s="684"/>
      <c r="N46" s="685" t="s">
        <v>48</v>
      </c>
      <c r="O46" s="672"/>
      <c r="P46" s="673"/>
    </row>
    <row r="47" spans="1:19">
      <c r="A47" s="1074"/>
      <c r="B47" s="1069"/>
      <c r="C47" s="1069"/>
      <c r="D47" s="1069"/>
      <c r="E47" s="1069"/>
      <c r="F47" s="1075"/>
      <c r="G47" s="508"/>
      <c r="H47" s="503"/>
      <c r="I47" s="503"/>
      <c r="J47" s="503"/>
      <c r="K47" s="518"/>
      <c r="L47" s="503"/>
      <c r="M47" s="518"/>
      <c r="N47" s="503"/>
      <c r="O47" s="484"/>
      <c r="P47" s="492"/>
    </row>
    <row r="48" spans="1:19">
      <c r="A48" s="485"/>
      <c r="C48" s="1064"/>
      <c r="D48" s="1064"/>
      <c r="E48" s="1064"/>
      <c r="F48" s="1076"/>
      <c r="G48" s="684" t="s">
        <v>79</v>
      </c>
      <c r="H48" s="685"/>
      <c r="I48" s="685"/>
      <c r="J48" s="673"/>
      <c r="K48" s="672"/>
      <c r="L48" s="672"/>
      <c r="M48" s="672"/>
      <c r="N48" s="672"/>
      <c r="O48" s="672"/>
      <c r="P48" s="673"/>
    </row>
    <row r="49" spans="1:16">
      <c r="A49" s="485"/>
      <c r="C49" s="643"/>
      <c r="D49" s="643"/>
      <c r="E49" s="643"/>
      <c r="F49" s="643"/>
      <c r="G49" s="508"/>
      <c r="H49" s="503"/>
      <c r="I49" s="503"/>
      <c r="J49" s="492"/>
      <c r="O49" s="484"/>
      <c r="P49" s="492"/>
    </row>
    <row r="50" spans="1:16">
      <c r="A50" s="485"/>
      <c r="G50" s="508"/>
      <c r="H50" s="503"/>
      <c r="I50" s="503"/>
      <c r="J50" s="492"/>
      <c r="O50" s="484"/>
      <c r="P50" s="494"/>
    </row>
    <row r="51" spans="1:16">
      <c r="A51" s="1074" t="s">
        <v>687</v>
      </c>
      <c r="B51" s="1069"/>
      <c r="C51" s="1069"/>
      <c r="D51" s="1069"/>
      <c r="E51" s="1069"/>
      <c r="F51" s="1075"/>
      <c r="G51" s="684" t="s">
        <v>80</v>
      </c>
      <c r="H51" s="685"/>
      <c r="I51" s="685"/>
      <c r="J51" s="673"/>
      <c r="K51" s="671"/>
      <c r="L51" s="672"/>
      <c r="M51" s="671"/>
      <c r="N51" s="685" t="s">
        <v>48</v>
      </c>
      <c r="O51" s="672"/>
      <c r="P51" s="673"/>
    </row>
    <row r="52" spans="1:16">
      <c r="A52" s="1015" t="s">
        <v>682</v>
      </c>
      <c r="B52" s="1016"/>
      <c r="C52" s="1016"/>
      <c r="D52" s="1016"/>
      <c r="E52" s="1016"/>
      <c r="F52" s="1017"/>
      <c r="G52" s="487"/>
      <c r="H52" s="488"/>
      <c r="I52" s="488"/>
      <c r="J52" s="494"/>
      <c r="K52" s="487"/>
      <c r="L52" s="488"/>
      <c r="M52" s="487"/>
      <c r="N52" s="488"/>
      <c r="O52" s="488"/>
      <c r="P52" s="494"/>
    </row>
    <row r="53" spans="1:16">
      <c r="A53" s="485"/>
      <c r="G53" s="686" t="s">
        <v>81</v>
      </c>
      <c r="H53" s="672"/>
      <c r="I53" s="672"/>
      <c r="J53" s="672"/>
      <c r="K53" s="673"/>
      <c r="L53" s="671"/>
      <c r="M53" s="685" t="s">
        <v>82</v>
      </c>
      <c r="N53" s="672"/>
      <c r="O53" s="672"/>
      <c r="P53" s="687" t="s">
        <v>48</v>
      </c>
    </row>
    <row r="54" spans="1:16">
      <c r="A54" s="509"/>
      <c r="B54" s="510"/>
      <c r="C54" s="510"/>
      <c r="D54" s="510"/>
      <c r="E54" s="510"/>
      <c r="F54" s="510"/>
      <c r="G54" s="509"/>
      <c r="H54" s="510"/>
      <c r="I54" s="510"/>
      <c r="J54" s="510"/>
      <c r="K54" s="519"/>
      <c r="L54" s="509"/>
      <c r="M54" s="520" t="s">
        <v>50</v>
      </c>
      <c r="N54" s="510"/>
      <c r="O54" s="510"/>
      <c r="P54" s="519"/>
    </row>
    <row r="55" spans="1:16">
      <c r="M55" s="503"/>
      <c r="O55" s="484"/>
    </row>
    <row r="56" spans="1:16">
      <c r="M56" s="503"/>
      <c r="O56" s="484"/>
    </row>
    <row r="57" spans="1:16">
      <c r="M57" s="503"/>
      <c r="O57" s="484"/>
    </row>
    <row r="58" spans="1:16">
      <c r="M58" s="503"/>
      <c r="O58" s="484"/>
    </row>
    <row r="59" spans="1:16">
      <c r="M59" s="503"/>
      <c r="O59" s="484"/>
    </row>
    <row r="60" spans="1:16">
      <c r="M60" s="503"/>
      <c r="O60" s="484"/>
    </row>
    <row r="61" spans="1:16">
      <c r="O61" s="484"/>
    </row>
    <row r="62" spans="1:16">
      <c r="O62" s="484"/>
    </row>
    <row r="63" spans="1:16">
      <c r="A63" s="1077"/>
      <c r="B63" s="1078"/>
      <c r="C63" s="1078"/>
      <c r="D63" s="1078"/>
      <c r="E63" s="1078"/>
      <c r="F63" s="1078"/>
      <c r="G63" s="1078"/>
      <c r="H63" s="1078"/>
      <c r="I63" s="1078"/>
      <c r="J63" s="1078"/>
      <c r="K63" s="1078"/>
      <c r="L63" s="1078"/>
      <c r="M63" s="1078"/>
      <c r="N63" s="1078"/>
      <c r="O63" s="1078"/>
      <c r="P63" s="1079"/>
    </row>
    <row r="64" spans="1:16">
      <c r="A64" s="1080" t="s">
        <v>0</v>
      </c>
      <c r="B64" s="1054"/>
      <c r="C64" s="1054"/>
      <c r="D64" s="1054"/>
      <c r="E64" s="1054"/>
      <c r="F64" s="1054"/>
      <c r="G64" s="1054"/>
      <c r="H64" s="1054"/>
      <c r="I64" s="1054"/>
      <c r="J64" s="1054"/>
      <c r="K64" s="1054"/>
      <c r="L64" s="1054"/>
      <c r="M64" s="1054"/>
      <c r="N64" s="1054"/>
      <c r="O64" s="1054"/>
      <c r="P64" s="1055"/>
    </row>
    <row r="65" spans="1:16" ht="14.4">
      <c r="A65" s="1081" t="s">
        <v>1</v>
      </c>
      <c r="B65" s="1047"/>
      <c r="C65" s="1047"/>
      <c r="D65" s="1047"/>
      <c r="E65" s="1047"/>
      <c r="F65" s="1047"/>
      <c r="G65" s="1047"/>
      <c r="H65" s="1047"/>
      <c r="I65" s="1047"/>
      <c r="J65" s="1047"/>
      <c r="K65" s="1047"/>
      <c r="L65" s="1047"/>
      <c r="M65" s="1047"/>
      <c r="N65" s="1047"/>
      <c r="O65" s="1047"/>
      <c r="P65" s="1048"/>
    </row>
    <row r="66" spans="1:16">
      <c r="A66" s="522"/>
      <c r="N66" s="488"/>
      <c r="O66" s="484"/>
      <c r="P66" s="492"/>
    </row>
    <row r="67" spans="1:16">
      <c r="A67" s="523"/>
      <c r="B67" s="490"/>
      <c r="C67" s="490"/>
      <c r="D67" s="490"/>
      <c r="E67" s="490"/>
      <c r="F67" s="490"/>
      <c r="G67" s="490"/>
      <c r="H67" s="490"/>
      <c r="I67" s="490"/>
      <c r="J67" s="490"/>
      <c r="K67" s="491"/>
      <c r="L67" s="490"/>
      <c r="M67" s="490"/>
      <c r="O67" s="489"/>
      <c r="P67" s="491"/>
    </row>
    <row r="68" spans="1:16" ht="15.6">
      <c r="A68" s="1082" t="s">
        <v>49</v>
      </c>
      <c r="B68" s="985"/>
      <c r="C68" s="985"/>
      <c r="D68" s="985"/>
      <c r="E68" s="985"/>
      <c r="F68" s="985"/>
      <c r="G68" s="985"/>
      <c r="H68" s="985"/>
      <c r="I68" s="985"/>
      <c r="J68" s="985"/>
      <c r="K68" s="986"/>
      <c r="M68" s="484" t="s">
        <v>50</v>
      </c>
      <c r="P68" s="492"/>
    </row>
    <row r="69" spans="1:16" ht="10.5" customHeight="1">
      <c r="A69" s="524"/>
      <c r="B69" s="488"/>
      <c r="C69" s="488"/>
      <c r="D69" s="488"/>
      <c r="E69" s="488"/>
      <c r="F69" s="488"/>
      <c r="G69" s="488"/>
      <c r="H69" s="488"/>
      <c r="I69" s="488"/>
      <c r="J69" s="488"/>
      <c r="K69" s="494"/>
      <c r="L69" s="488"/>
      <c r="M69" s="488"/>
      <c r="N69" s="488"/>
      <c r="O69" s="487"/>
      <c r="P69" s="494"/>
    </row>
    <row r="70" spans="1:16" ht="6" customHeight="1">
      <c r="A70" s="523"/>
      <c r="B70" s="491"/>
      <c r="P70" s="492"/>
    </row>
    <row r="71" spans="1:16" ht="9.75" customHeight="1">
      <c r="A71" s="522" t="s">
        <v>51</v>
      </c>
      <c r="B71" s="492"/>
      <c r="D71" s="525"/>
      <c r="E71" s="484" t="s">
        <v>52</v>
      </c>
      <c r="H71" s="525"/>
      <c r="J71" s="484" t="s">
        <v>53</v>
      </c>
      <c r="N71" s="539"/>
      <c r="P71" s="492" t="s">
        <v>54</v>
      </c>
    </row>
    <row r="72" spans="1:16">
      <c r="A72" s="522" t="s">
        <v>55</v>
      </c>
      <c r="B72" s="492"/>
      <c r="P72" s="492"/>
    </row>
    <row r="73" spans="1:16">
      <c r="A73" s="523"/>
      <c r="B73" s="491"/>
      <c r="C73" s="489"/>
      <c r="D73" s="490"/>
      <c r="E73" s="490"/>
      <c r="F73" s="491"/>
      <c r="G73" s="490"/>
      <c r="H73" s="490" t="s">
        <v>56</v>
      </c>
      <c r="I73" s="490"/>
      <c r="J73" s="490"/>
      <c r="K73" s="491"/>
      <c r="L73" s="490"/>
      <c r="M73" s="490" t="s">
        <v>57</v>
      </c>
      <c r="N73" s="490"/>
      <c r="O73" s="489"/>
      <c r="P73" s="491"/>
    </row>
    <row r="74" spans="1:16">
      <c r="A74" s="522" t="s">
        <v>3</v>
      </c>
      <c r="B74" s="492"/>
      <c r="C74" s="1074" t="s">
        <v>83</v>
      </c>
      <c r="D74" s="1054"/>
      <c r="E74" s="1054"/>
      <c r="F74" s="1055"/>
      <c r="K74" s="492"/>
      <c r="P74" s="492"/>
    </row>
    <row r="75" spans="1:16">
      <c r="A75" s="524"/>
      <c r="B75" s="494"/>
      <c r="C75" s="487"/>
      <c r="D75" s="488"/>
      <c r="E75" s="488"/>
      <c r="F75" s="494"/>
      <c r="G75" s="488"/>
      <c r="H75" s="488"/>
      <c r="I75" s="488"/>
      <c r="J75" s="488"/>
      <c r="K75" s="494"/>
      <c r="L75" s="488"/>
      <c r="M75" s="488"/>
      <c r="N75" s="488"/>
      <c r="O75" s="487"/>
      <c r="P75" s="494"/>
    </row>
    <row r="76" spans="1:16">
      <c r="A76" s="522"/>
      <c r="B76" s="492"/>
      <c r="C76" s="485"/>
      <c r="F76" s="492"/>
      <c r="G76" s="1083" t="s">
        <v>58</v>
      </c>
      <c r="H76" s="1016"/>
      <c r="I76" s="1016"/>
      <c r="J76" s="1016"/>
      <c r="K76" s="1016"/>
      <c r="L76" s="1016"/>
      <c r="M76" s="1016"/>
      <c r="N76" s="1016"/>
      <c r="O76" s="1016"/>
      <c r="P76" s="1017"/>
    </row>
    <row r="77" spans="1:16">
      <c r="A77" s="522" t="s">
        <v>7</v>
      </c>
      <c r="B77" s="492"/>
      <c r="C77" s="485"/>
      <c r="D77" s="1016" t="s">
        <v>84</v>
      </c>
      <c r="E77" s="1016"/>
      <c r="F77" s="1017"/>
      <c r="H77" s="490" t="s">
        <v>60</v>
      </c>
      <c r="I77" s="490"/>
      <c r="J77" s="490"/>
      <c r="K77" s="491"/>
      <c r="L77" s="490"/>
      <c r="M77" s="490" t="s">
        <v>15</v>
      </c>
      <c r="N77" s="490"/>
      <c r="O77" s="489"/>
      <c r="P77" s="491"/>
    </row>
    <row r="78" spans="1:16">
      <c r="A78" s="522"/>
      <c r="B78" s="492"/>
      <c r="C78" s="485"/>
      <c r="F78" s="492"/>
      <c r="H78" s="1054" t="s">
        <v>85</v>
      </c>
      <c r="I78" s="1054"/>
      <c r="J78" s="1054"/>
      <c r="K78" s="1055"/>
      <c r="L78" s="1054"/>
      <c r="M78" s="1054"/>
      <c r="N78" s="1054"/>
      <c r="O78" s="1054"/>
      <c r="P78" s="1055"/>
    </row>
    <row r="79" spans="1:16">
      <c r="A79" s="524"/>
      <c r="B79" s="494"/>
      <c r="C79" s="487"/>
      <c r="D79" s="488"/>
      <c r="E79" s="488"/>
      <c r="F79" s="494"/>
      <c r="H79" s="488"/>
      <c r="I79" s="488"/>
      <c r="J79" s="488"/>
      <c r="K79" s="494"/>
      <c r="L79" s="488"/>
      <c r="M79" s="488"/>
      <c r="N79" s="488"/>
      <c r="O79" s="487"/>
      <c r="P79" s="494"/>
    </row>
    <row r="80" spans="1:16">
      <c r="A80" s="1080" t="s">
        <v>62</v>
      </c>
      <c r="B80" s="1054"/>
      <c r="C80" s="1054"/>
      <c r="D80" s="1054"/>
      <c r="E80" s="1054"/>
      <c r="F80" s="1054"/>
      <c r="G80" s="1084"/>
      <c r="H80" s="1054"/>
      <c r="I80" s="1054"/>
      <c r="J80" s="1054"/>
      <c r="K80" s="1054"/>
      <c r="L80" s="1054"/>
      <c r="M80" s="1054"/>
      <c r="N80" s="1085"/>
      <c r="O80" s="540"/>
      <c r="P80" s="495" t="s">
        <v>63</v>
      </c>
    </row>
    <row r="81" spans="1:16">
      <c r="A81" s="523"/>
      <c r="B81" s="490"/>
      <c r="C81" s="490"/>
      <c r="D81" s="490"/>
      <c r="E81" s="490"/>
      <c r="F81" s="490"/>
      <c r="G81" s="490"/>
      <c r="H81" s="490"/>
      <c r="I81" s="490"/>
      <c r="J81" s="490"/>
      <c r="K81" s="490"/>
      <c r="L81" s="490"/>
      <c r="M81" s="490"/>
      <c r="N81" s="490"/>
      <c r="O81" s="489"/>
      <c r="P81" s="491"/>
    </row>
    <row r="82" spans="1:16">
      <c r="A82" s="522"/>
      <c r="P82" s="492"/>
    </row>
    <row r="83" spans="1:16">
      <c r="A83" s="522"/>
      <c r="B83" s="484" t="s">
        <v>86</v>
      </c>
      <c r="D83" s="484" t="s">
        <v>87</v>
      </c>
      <c r="P83" s="492"/>
    </row>
    <row r="84" spans="1:16">
      <c r="A84" s="522"/>
      <c r="B84" s="484" t="s">
        <v>88</v>
      </c>
      <c r="P84" s="492"/>
    </row>
    <row r="85" spans="1:16">
      <c r="A85" s="522"/>
      <c r="B85" s="484" t="s">
        <v>89</v>
      </c>
      <c r="P85" s="492"/>
    </row>
    <row r="86" spans="1:16" ht="14.4">
      <c r="A86" s="522"/>
      <c r="P86" s="541">
        <v>153969.98000000001</v>
      </c>
    </row>
    <row r="87" spans="1:16">
      <c r="A87" s="522"/>
      <c r="B87" s="484" t="s">
        <v>90</v>
      </c>
      <c r="P87" s="505"/>
    </row>
    <row r="88" spans="1:16">
      <c r="A88" s="522"/>
      <c r="B88" s="484" t="s">
        <v>91</v>
      </c>
      <c r="P88" s="492"/>
    </row>
    <row r="89" spans="1:16">
      <c r="A89" s="522"/>
      <c r="D89" s="484" t="s">
        <v>92</v>
      </c>
      <c r="F89" s="526">
        <v>1119.53</v>
      </c>
      <c r="P89" s="492"/>
    </row>
    <row r="90" spans="1:16">
      <c r="A90" s="522"/>
      <c r="F90" s="527">
        <v>153969.98000000001</v>
      </c>
      <c r="P90" s="492"/>
    </row>
    <row r="91" spans="1:16" ht="15.6">
      <c r="A91" s="528"/>
      <c r="B91" s="500"/>
      <c r="C91" s="500"/>
      <c r="D91" s="500"/>
      <c r="E91" s="500"/>
      <c r="F91" s="500"/>
      <c r="G91" s="500"/>
      <c r="H91" s="500"/>
      <c r="I91" s="500"/>
      <c r="J91" s="500"/>
      <c r="K91" s="517" t="s">
        <v>93</v>
      </c>
      <c r="L91" s="500"/>
      <c r="M91" s="500"/>
      <c r="N91" s="506"/>
      <c r="O91" s="499"/>
      <c r="P91" s="542">
        <f>SUM(P86:P90)</f>
        <v>153969.98000000001</v>
      </c>
    </row>
    <row r="92" spans="1:16">
      <c r="A92" s="529" t="s">
        <v>34</v>
      </c>
      <c r="B92" s="501"/>
      <c r="C92" s="501"/>
      <c r="D92" s="490"/>
      <c r="E92" s="490"/>
      <c r="F92" s="491"/>
      <c r="H92" s="502" t="s">
        <v>35</v>
      </c>
      <c r="O92" s="484"/>
      <c r="P92" s="492"/>
    </row>
    <row r="93" spans="1:16">
      <c r="A93" s="522"/>
      <c r="F93" s="492"/>
      <c r="O93" s="484"/>
      <c r="P93" s="492"/>
    </row>
    <row r="94" spans="1:16">
      <c r="A94" s="522"/>
      <c r="B94" s="530" t="s">
        <v>94</v>
      </c>
      <c r="C94" s="503" t="s">
        <v>67</v>
      </c>
      <c r="F94" s="492"/>
      <c r="H94" s="1016" t="s">
        <v>68</v>
      </c>
      <c r="I94" s="1016"/>
      <c r="J94" s="1016"/>
      <c r="K94" s="1016"/>
      <c r="L94" s="1016"/>
      <c r="M94" s="1016"/>
      <c r="N94" s="1016"/>
      <c r="O94" s="1016"/>
      <c r="P94" s="1017"/>
    </row>
    <row r="95" spans="1:16">
      <c r="A95" s="1086" t="s">
        <v>69</v>
      </c>
      <c r="B95" s="1072"/>
      <c r="C95" s="1072"/>
      <c r="D95" s="1072"/>
      <c r="E95" s="1072"/>
      <c r="F95" s="1073"/>
      <c r="O95" s="484"/>
      <c r="P95" s="492"/>
    </row>
    <row r="96" spans="1:16">
      <c r="A96" s="522"/>
      <c r="B96" s="530" t="s">
        <v>94</v>
      </c>
      <c r="C96" s="503" t="s">
        <v>70</v>
      </c>
      <c r="F96" s="492"/>
      <c r="O96" s="484"/>
      <c r="P96" s="492"/>
    </row>
    <row r="97" spans="1:16">
      <c r="A97" s="522"/>
      <c r="F97" s="492"/>
      <c r="N97" s="488"/>
      <c r="O97" s="484"/>
      <c r="P97" s="492"/>
    </row>
    <row r="98" spans="1:16">
      <c r="A98" s="523"/>
      <c r="B98" s="490"/>
      <c r="C98" s="490"/>
      <c r="D98" s="490"/>
      <c r="E98" s="490"/>
      <c r="F98" s="491"/>
      <c r="G98" s="490"/>
      <c r="H98" s="490"/>
      <c r="I98" s="490"/>
      <c r="J98" s="490"/>
      <c r="K98" s="490"/>
      <c r="L98" s="490"/>
      <c r="M98" s="490"/>
      <c r="O98" s="490"/>
      <c r="P98" s="491"/>
    </row>
    <row r="99" spans="1:16">
      <c r="A99" s="1080" t="s">
        <v>71</v>
      </c>
      <c r="B99" s="1054"/>
      <c r="C99" s="1054"/>
      <c r="D99" s="1054"/>
      <c r="E99" s="1054"/>
      <c r="F99" s="1055"/>
      <c r="H99" s="1054" t="s">
        <v>95</v>
      </c>
      <c r="I99" s="1054"/>
      <c r="J99" s="1054"/>
      <c r="K99" s="1054"/>
      <c r="L99" s="1054"/>
      <c r="M99" s="1054"/>
      <c r="N99" s="1054"/>
      <c r="O99" s="1054"/>
      <c r="P99" s="1055"/>
    </row>
    <row r="100" spans="1:16">
      <c r="A100" s="1087" t="s">
        <v>96</v>
      </c>
      <c r="B100" s="1016"/>
      <c r="C100" s="1016"/>
      <c r="D100" s="1016"/>
      <c r="E100" s="1016"/>
      <c r="F100" s="1017"/>
      <c r="H100" s="1016" t="s">
        <v>97</v>
      </c>
      <c r="I100" s="1016"/>
      <c r="J100" s="1016"/>
      <c r="K100" s="1016"/>
      <c r="L100" s="1016"/>
      <c r="M100" s="1016"/>
      <c r="N100" s="1016"/>
      <c r="O100" s="1016"/>
      <c r="P100" s="1017"/>
    </row>
    <row r="101" spans="1:16">
      <c r="A101" s="524"/>
      <c r="B101" s="488"/>
      <c r="C101" s="488"/>
      <c r="D101" s="488"/>
      <c r="E101" s="488"/>
      <c r="F101" s="494"/>
      <c r="G101" s="488"/>
      <c r="H101" s="488"/>
      <c r="I101" s="488"/>
      <c r="J101" s="488"/>
      <c r="K101" s="488"/>
      <c r="L101" s="488"/>
      <c r="M101" s="488"/>
      <c r="N101" s="488"/>
      <c r="O101" s="488"/>
      <c r="P101" s="494"/>
    </row>
    <row r="102" spans="1:16">
      <c r="A102" s="522" t="s">
        <v>48</v>
      </c>
      <c r="B102" s="531"/>
      <c r="F102" s="492"/>
      <c r="H102" s="484" t="s">
        <v>48</v>
      </c>
      <c r="J102" s="491"/>
      <c r="P102" s="492"/>
    </row>
    <row r="103" spans="1:16">
      <c r="A103" s="529" t="s">
        <v>75</v>
      </c>
      <c r="B103" s="490"/>
      <c r="C103" s="490"/>
      <c r="D103" s="490"/>
      <c r="E103" s="490"/>
      <c r="F103" s="491"/>
      <c r="G103" s="490"/>
      <c r="H103" s="501" t="s">
        <v>76</v>
      </c>
      <c r="I103" s="490"/>
      <c r="J103" s="490"/>
      <c r="K103" s="490"/>
      <c r="L103" s="490"/>
      <c r="M103" s="490"/>
      <c r="N103" s="490"/>
      <c r="O103" s="489"/>
      <c r="P103" s="491"/>
    </row>
    <row r="104" spans="1:16">
      <c r="A104" s="524"/>
      <c r="B104" s="488"/>
      <c r="C104" s="488"/>
      <c r="D104" s="488"/>
      <c r="E104" s="488"/>
      <c r="F104" s="494"/>
      <c r="G104" s="488"/>
      <c r="H104" s="488"/>
      <c r="I104" s="488"/>
      <c r="J104" s="488"/>
      <c r="K104" s="488"/>
      <c r="L104" s="488"/>
      <c r="M104" s="488"/>
      <c r="N104" s="488"/>
      <c r="O104" s="487"/>
      <c r="P104" s="494"/>
    </row>
    <row r="105" spans="1:16">
      <c r="A105" s="522"/>
      <c r="F105" s="492"/>
      <c r="G105" s="503" t="s">
        <v>77</v>
      </c>
      <c r="H105" s="503"/>
      <c r="I105" s="503"/>
      <c r="J105" s="543"/>
      <c r="K105" s="503" t="s">
        <v>78</v>
      </c>
      <c r="L105" s="543"/>
      <c r="M105" s="503"/>
      <c r="N105" s="503" t="s">
        <v>48</v>
      </c>
      <c r="P105" s="492"/>
    </row>
    <row r="106" spans="1:16">
      <c r="A106" s="522"/>
      <c r="F106" s="492"/>
      <c r="G106" s="532"/>
      <c r="H106" s="533"/>
      <c r="I106" s="533"/>
      <c r="J106" s="544"/>
      <c r="K106" s="533"/>
      <c r="L106" s="544"/>
      <c r="M106" s="533"/>
      <c r="N106" s="533"/>
      <c r="O106" s="487"/>
      <c r="P106" s="494"/>
    </row>
    <row r="107" spans="1:16">
      <c r="A107" s="522"/>
      <c r="F107" s="492"/>
      <c r="G107" s="503" t="s">
        <v>79</v>
      </c>
      <c r="H107" s="503"/>
      <c r="I107" s="503"/>
      <c r="J107" s="492"/>
      <c r="P107" s="492"/>
    </row>
    <row r="108" spans="1:16">
      <c r="A108" s="522"/>
      <c r="F108" s="492"/>
      <c r="G108" s="532"/>
      <c r="H108" s="503"/>
      <c r="I108" s="503"/>
      <c r="J108" s="492"/>
      <c r="P108" s="492"/>
    </row>
    <row r="109" spans="1:16">
      <c r="A109" s="1088"/>
      <c r="B109" s="1089"/>
      <c r="C109" s="1089"/>
      <c r="D109" s="1090" t="s">
        <v>98</v>
      </c>
      <c r="E109" s="1090"/>
      <c r="F109" s="1091"/>
      <c r="G109" s="503" t="s">
        <v>80</v>
      </c>
      <c r="H109" s="507"/>
      <c r="I109" s="507"/>
      <c r="J109" s="491"/>
      <c r="K109" s="490"/>
      <c r="L109" s="491"/>
      <c r="M109" s="490"/>
      <c r="N109" s="507" t="s">
        <v>48</v>
      </c>
      <c r="O109" s="489"/>
      <c r="P109" s="491"/>
    </row>
    <row r="110" spans="1:16">
      <c r="A110" s="1087" t="s">
        <v>99</v>
      </c>
      <c r="B110" s="1069"/>
      <c r="C110" s="1069"/>
      <c r="D110" s="1069"/>
      <c r="E110" s="1069"/>
      <c r="F110" s="1075"/>
      <c r="G110" s="534"/>
      <c r="H110" s="488"/>
      <c r="I110" s="488"/>
      <c r="J110" s="494"/>
      <c r="K110" s="488"/>
      <c r="L110" s="494"/>
      <c r="M110" s="488"/>
      <c r="N110" s="488"/>
      <c r="O110" s="487"/>
      <c r="P110" s="494"/>
    </row>
    <row r="111" spans="1:16">
      <c r="A111" s="522"/>
      <c r="F111" s="492"/>
      <c r="G111" s="535" t="s">
        <v>81</v>
      </c>
      <c r="K111" s="492"/>
      <c r="M111" s="503" t="s">
        <v>82</v>
      </c>
      <c r="P111" s="543" t="s">
        <v>48</v>
      </c>
    </row>
    <row r="112" spans="1:16">
      <c r="A112" s="522"/>
      <c r="F112" s="492"/>
      <c r="K112" s="492"/>
      <c r="M112" s="503" t="s">
        <v>50</v>
      </c>
      <c r="P112" s="492"/>
    </row>
    <row r="113" spans="1:16">
      <c r="A113" s="536"/>
      <c r="B113" s="537"/>
      <c r="C113" s="537"/>
      <c r="D113" s="537"/>
      <c r="E113" s="537"/>
      <c r="F113" s="538"/>
      <c r="G113" s="537"/>
      <c r="H113" s="537"/>
      <c r="I113" s="537"/>
      <c r="J113" s="537"/>
      <c r="K113" s="538"/>
      <c r="L113" s="537"/>
      <c r="M113" s="537"/>
      <c r="N113" s="494"/>
      <c r="P113" s="538"/>
    </row>
    <row r="114" spans="1:16">
      <c r="O114" s="484"/>
    </row>
    <row r="115" spans="1:16" hidden="1">
      <c r="O115" s="484"/>
    </row>
    <row r="116" spans="1:16">
      <c r="O116" s="484"/>
    </row>
    <row r="117" spans="1:16">
      <c r="O117" s="484"/>
    </row>
    <row r="118" spans="1:16">
      <c r="O118" s="484"/>
    </row>
    <row r="119" spans="1:16">
      <c r="O119" s="484"/>
    </row>
    <row r="120" spans="1:16" ht="14.25" customHeight="1">
      <c r="O120" s="484"/>
    </row>
    <row r="121" spans="1:16">
      <c r="O121" s="484"/>
    </row>
    <row r="122" spans="1:16">
      <c r="O122" s="484"/>
    </row>
    <row r="123" spans="1:16">
      <c r="O123" s="484"/>
    </row>
    <row r="124" spans="1:16">
      <c r="A124" s="1077"/>
      <c r="B124" s="1078"/>
      <c r="C124" s="1078"/>
      <c r="D124" s="1078"/>
      <c r="E124" s="1078"/>
      <c r="F124" s="1078"/>
      <c r="G124" s="1078"/>
      <c r="H124" s="1078"/>
      <c r="I124" s="1078"/>
      <c r="J124" s="1078"/>
      <c r="K124" s="1078"/>
      <c r="L124" s="1078"/>
      <c r="M124" s="1078"/>
      <c r="N124" s="1078"/>
      <c r="O124" s="1078"/>
      <c r="P124" s="1079"/>
    </row>
    <row r="125" spans="1:16">
      <c r="A125" s="1080" t="s">
        <v>0</v>
      </c>
      <c r="B125" s="1054"/>
      <c r="C125" s="1054"/>
      <c r="D125" s="1054"/>
      <c r="E125" s="1054"/>
      <c r="F125" s="1054"/>
      <c r="G125" s="1054"/>
      <c r="H125" s="1054"/>
      <c r="I125" s="1054"/>
      <c r="J125" s="1054"/>
      <c r="K125" s="1054"/>
      <c r="L125" s="1054"/>
      <c r="M125" s="1054"/>
      <c r="N125" s="1054"/>
      <c r="O125" s="1054"/>
      <c r="P125" s="1055"/>
    </row>
    <row r="126" spans="1:16" ht="14.4">
      <c r="A126" s="1081" t="s">
        <v>1</v>
      </c>
      <c r="B126" s="1047"/>
      <c r="C126" s="1047"/>
      <c r="D126" s="1047"/>
      <c r="E126" s="1047"/>
      <c r="F126" s="1047"/>
      <c r="G126" s="1047"/>
      <c r="H126" s="1047"/>
      <c r="I126" s="1047"/>
      <c r="J126" s="1047"/>
      <c r="K126" s="1047"/>
      <c r="L126" s="1047"/>
      <c r="M126" s="1047"/>
      <c r="N126" s="1047"/>
      <c r="O126" s="1047"/>
      <c r="P126" s="1048"/>
    </row>
    <row r="127" spans="1:16">
      <c r="A127" s="522"/>
      <c r="P127" s="492"/>
    </row>
    <row r="128" spans="1:16">
      <c r="A128" s="523"/>
      <c r="B128" s="490"/>
      <c r="C128" s="490"/>
      <c r="D128" s="490"/>
      <c r="E128" s="490"/>
      <c r="F128" s="490"/>
      <c r="G128" s="490"/>
      <c r="H128" s="490"/>
      <c r="I128" s="490"/>
      <c r="J128" s="490"/>
      <c r="K128" s="491"/>
      <c r="L128" s="490"/>
      <c r="M128" s="490"/>
      <c r="N128" s="490"/>
      <c r="O128" s="489"/>
      <c r="P128" s="491"/>
    </row>
    <row r="129" spans="1:16" ht="15.6">
      <c r="A129" s="1082" t="s">
        <v>49</v>
      </c>
      <c r="B129" s="985"/>
      <c r="C129" s="985"/>
      <c r="D129" s="985"/>
      <c r="E129" s="985"/>
      <c r="F129" s="985"/>
      <c r="G129" s="985"/>
      <c r="H129" s="985"/>
      <c r="I129" s="985"/>
      <c r="J129" s="985"/>
      <c r="K129" s="986"/>
      <c r="M129" s="484" t="s">
        <v>50</v>
      </c>
      <c r="P129" s="492"/>
    </row>
    <row r="130" spans="1:16">
      <c r="A130" s="524"/>
      <c r="B130" s="488"/>
      <c r="C130" s="488"/>
      <c r="D130" s="488"/>
      <c r="E130" s="488"/>
      <c r="F130" s="488"/>
      <c r="G130" s="488"/>
      <c r="H130" s="488"/>
      <c r="I130" s="488"/>
      <c r="J130" s="488"/>
      <c r="K130" s="494"/>
      <c r="L130" s="488"/>
      <c r="M130" s="488"/>
      <c r="N130" s="488"/>
      <c r="O130" s="487"/>
      <c r="P130" s="494"/>
    </row>
    <row r="131" spans="1:16">
      <c r="A131" s="523"/>
      <c r="B131" s="491"/>
      <c r="P131" s="492"/>
    </row>
    <row r="132" spans="1:16">
      <c r="A132" s="522" t="s">
        <v>51</v>
      </c>
      <c r="B132" s="492"/>
      <c r="D132" s="525"/>
      <c r="E132" s="484" t="s">
        <v>52</v>
      </c>
      <c r="H132" s="525"/>
      <c r="J132" s="484" t="s">
        <v>53</v>
      </c>
      <c r="N132" s="539"/>
      <c r="P132" s="492" t="s">
        <v>54</v>
      </c>
    </row>
    <row r="133" spans="1:16">
      <c r="A133" s="522" t="s">
        <v>55</v>
      </c>
      <c r="B133" s="492"/>
      <c r="P133" s="492"/>
    </row>
    <row r="134" spans="1:16">
      <c r="A134" s="523"/>
      <c r="B134" s="491"/>
      <c r="C134" s="489"/>
      <c r="D134" s="490"/>
      <c r="E134" s="490"/>
      <c r="F134" s="491"/>
      <c r="G134" s="490"/>
      <c r="H134" s="490" t="s">
        <v>56</v>
      </c>
      <c r="I134" s="490"/>
      <c r="J134" s="490"/>
      <c r="K134" s="491"/>
      <c r="L134" s="490"/>
      <c r="M134" s="490" t="s">
        <v>57</v>
      </c>
      <c r="N134" s="490"/>
      <c r="O134" s="489"/>
      <c r="P134" s="491"/>
    </row>
    <row r="135" spans="1:16">
      <c r="A135" s="522" t="s">
        <v>3</v>
      </c>
      <c r="B135" s="492"/>
      <c r="C135" s="1074" t="s">
        <v>83</v>
      </c>
      <c r="D135" s="1054"/>
      <c r="E135" s="1054"/>
      <c r="F135" s="1055"/>
      <c r="K135" s="492"/>
      <c r="P135" s="492"/>
    </row>
    <row r="136" spans="1:16">
      <c r="A136" s="524"/>
      <c r="B136" s="494"/>
      <c r="C136" s="487"/>
      <c r="D136" s="488"/>
      <c r="E136" s="488"/>
      <c r="F136" s="494"/>
      <c r="G136" s="488"/>
      <c r="H136" s="488"/>
      <c r="I136" s="488"/>
      <c r="J136" s="488"/>
      <c r="K136" s="494"/>
      <c r="L136" s="488"/>
      <c r="M136" s="488"/>
      <c r="N136" s="488"/>
      <c r="O136" s="487"/>
      <c r="P136" s="494"/>
    </row>
    <row r="137" spans="1:16">
      <c r="A137" s="522"/>
      <c r="B137" s="492"/>
      <c r="C137" s="485"/>
      <c r="F137" s="492"/>
      <c r="G137" s="1083" t="s">
        <v>58</v>
      </c>
      <c r="H137" s="1016"/>
      <c r="I137" s="1016"/>
      <c r="J137" s="1016"/>
      <c r="K137" s="1016"/>
      <c r="L137" s="1016"/>
      <c r="M137" s="1016"/>
      <c r="N137" s="1016"/>
      <c r="O137" s="1016"/>
      <c r="P137" s="1017"/>
    </row>
    <row r="138" spans="1:16">
      <c r="A138" s="522" t="s">
        <v>7</v>
      </c>
      <c r="B138" s="492"/>
      <c r="C138" s="485"/>
      <c r="D138" s="1016" t="s">
        <v>84</v>
      </c>
      <c r="E138" s="1016"/>
      <c r="F138" s="1017"/>
      <c r="H138" s="490" t="s">
        <v>60</v>
      </c>
      <c r="I138" s="490"/>
      <c r="J138" s="490"/>
      <c r="K138" s="491"/>
      <c r="L138" s="490"/>
      <c r="M138" s="490" t="s">
        <v>15</v>
      </c>
      <c r="N138" s="490"/>
      <c r="O138" s="489"/>
      <c r="P138" s="491"/>
    </row>
    <row r="139" spans="1:16">
      <c r="A139" s="522"/>
      <c r="B139" s="492"/>
      <c r="C139" s="485"/>
      <c r="F139" s="492"/>
      <c r="H139" s="1054" t="s">
        <v>85</v>
      </c>
      <c r="I139" s="1054"/>
      <c r="J139" s="1054"/>
      <c r="K139" s="1055"/>
      <c r="L139" s="1054"/>
      <c r="M139" s="1054"/>
      <c r="N139" s="1054"/>
      <c r="O139" s="1054"/>
      <c r="P139" s="1055"/>
    </row>
    <row r="140" spans="1:16">
      <c r="A140" s="524"/>
      <c r="B140" s="494"/>
      <c r="C140" s="487"/>
      <c r="D140" s="488"/>
      <c r="E140" s="488"/>
      <c r="F140" s="494"/>
      <c r="H140" s="488"/>
      <c r="I140" s="488"/>
      <c r="J140" s="488"/>
      <c r="K140" s="494"/>
      <c r="L140" s="488"/>
      <c r="M140" s="488"/>
      <c r="N140" s="488"/>
      <c r="O140" s="487"/>
      <c r="P140" s="494"/>
    </row>
    <row r="141" spans="1:16">
      <c r="A141" s="1080" t="s">
        <v>62</v>
      </c>
      <c r="B141" s="1054"/>
      <c r="C141" s="1054"/>
      <c r="D141" s="1054"/>
      <c r="E141" s="1054"/>
      <c r="F141" s="1054"/>
      <c r="G141" s="1084"/>
      <c r="H141" s="1054"/>
      <c r="I141" s="1054"/>
      <c r="J141" s="1054"/>
      <c r="K141" s="1054"/>
      <c r="L141" s="1054"/>
      <c r="M141" s="1054"/>
      <c r="N141" s="1085"/>
      <c r="O141" s="540"/>
      <c r="P141" s="495" t="s">
        <v>63</v>
      </c>
    </row>
    <row r="142" spans="1:16">
      <c r="A142" s="523"/>
      <c r="B142" s="490"/>
      <c r="C142" s="490"/>
      <c r="D142" s="490"/>
      <c r="E142" s="490"/>
      <c r="F142" s="490"/>
      <c r="G142" s="490"/>
      <c r="H142" s="490"/>
      <c r="I142" s="490"/>
      <c r="J142" s="490"/>
      <c r="K142" s="490"/>
      <c r="L142" s="490"/>
      <c r="M142" s="490"/>
      <c r="N142" s="490"/>
      <c r="O142" s="489"/>
      <c r="P142" s="491"/>
    </row>
    <row r="143" spans="1:16">
      <c r="A143" s="522"/>
      <c r="P143" s="492"/>
    </row>
    <row r="144" spans="1:16">
      <c r="A144" s="522"/>
      <c r="B144" s="484" t="s">
        <v>86</v>
      </c>
      <c r="D144" s="484" t="s">
        <v>87</v>
      </c>
      <c r="P144" s="492"/>
    </row>
    <row r="145" spans="1:16">
      <c r="A145" s="522"/>
      <c r="B145" s="484" t="s">
        <v>88</v>
      </c>
      <c r="P145" s="492"/>
    </row>
    <row r="146" spans="1:16">
      <c r="A146" s="522"/>
      <c r="B146" s="484" t="s">
        <v>89</v>
      </c>
      <c r="P146" s="492"/>
    </row>
    <row r="147" spans="1:16" ht="14.4">
      <c r="A147" s="522"/>
      <c r="P147" s="541">
        <v>153969.98000000001</v>
      </c>
    </row>
    <row r="148" spans="1:16">
      <c r="A148" s="522"/>
      <c r="B148" s="484" t="s">
        <v>90</v>
      </c>
      <c r="P148" s="505"/>
    </row>
    <row r="149" spans="1:16">
      <c r="A149" s="522"/>
      <c r="B149" s="484" t="s">
        <v>91</v>
      </c>
      <c r="P149" s="492"/>
    </row>
    <row r="150" spans="1:16">
      <c r="A150" s="522"/>
      <c r="D150" s="484" t="s">
        <v>92</v>
      </c>
      <c r="F150" s="526">
        <v>1119.53</v>
      </c>
      <c r="P150" s="492"/>
    </row>
    <row r="151" spans="1:16">
      <c r="A151" s="522"/>
      <c r="F151" s="527">
        <v>153969.98000000001</v>
      </c>
      <c r="P151" s="492"/>
    </row>
    <row r="152" spans="1:16" ht="15.6">
      <c r="A152" s="528"/>
      <c r="B152" s="500"/>
      <c r="C152" s="500"/>
      <c r="D152" s="500"/>
      <c r="E152" s="500"/>
      <c r="F152" s="500"/>
      <c r="G152" s="500"/>
      <c r="H152" s="500"/>
      <c r="I152" s="500"/>
      <c r="J152" s="500"/>
      <c r="K152" s="517" t="s">
        <v>93</v>
      </c>
      <c r="L152" s="500"/>
      <c r="M152" s="500"/>
      <c r="N152" s="500"/>
      <c r="O152" s="499"/>
      <c r="P152" s="542">
        <f>SUM(P147:P151)</f>
        <v>153969.98000000001</v>
      </c>
    </row>
    <row r="153" spans="1:16">
      <c r="A153" s="529" t="s">
        <v>34</v>
      </c>
      <c r="B153" s="501"/>
      <c r="C153" s="501"/>
      <c r="D153" s="490"/>
      <c r="E153" s="490"/>
      <c r="F153" s="491"/>
      <c r="H153" s="502" t="s">
        <v>35</v>
      </c>
      <c r="P153" s="492"/>
    </row>
    <row r="154" spans="1:16">
      <c r="A154" s="522"/>
      <c r="F154" s="492"/>
      <c r="P154" s="492"/>
    </row>
    <row r="155" spans="1:16">
      <c r="A155" s="522"/>
      <c r="B155" s="530" t="s">
        <v>94</v>
      </c>
      <c r="C155" s="503" t="s">
        <v>67</v>
      </c>
      <c r="F155" s="492"/>
      <c r="H155" s="1016" t="s">
        <v>68</v>
      </c>
      <c r="I155" s="1016"/>
      <c r="J155" s="1016"/>
      <c r="K155" s="1016"/>
      <c r="L155" s="1016"/>
      <c r="M155" s="1016"/>
      <c r="N155" s="1016"/>
      <c r="O155" s="1016"/>
      <c r="P155" s="1017"/>
    </row>
    <row r="156" spans="1:16">
      <c r="A156" s="1086" t="s">
        <v>69</v>
      </c>
      <c r="B156" s="1072"/>
      <c r="C156" s="1072"/>
      <c r="D156" s="1072"/>
      <c r="E156" s="1072"/>
      <c r="F156" s="1073"/>
      <c r="P156" s="492"/>
    </row>
    <row r="157" spans="1:16">
      <c r="A157" s="522"/>
      <c r="B157" s="530" t="s">
        <v>94</v>
      </c>
      <c r="C157" s="503" t="s">
        <v>70</v>
      </c>
      <c r="F157" s="492"/>
      <c r="P157" s="492"/>
    </row>
    <row r="158" spans="1:16">
      <c r="A158" s="522"/>
      <c r="F158" s="492"/>
      <c r="P158" s="492"/>
    </row>
    <row r="159" spans="1:16">
      <c r="A159" s="523"/>
      <c r="B159" s="490"/>
      <c r="C159" s="490"/>
      <c r="D159" s="490"/>
      <c r="E159" s="490"/>
      <c r="F159" s="491"/>
      <c r="G159" s="490"/>
      <c r="H159" s="490"/>
      <c r="I159" s="490"/>
      <c r="J159" s="490"/>
      <c r="K159" s="490"/>
      <c r="L159" s="490"/>
      <c r="M159" s="490"/>
      <c r="N159" s="490"/>
      <c r="O159" s="489"/>
      <c r="P159" s="491"/>
    </row>
    <row r="160" spans="1:16">
      <c r="A160" s="1080" t="s">
        <v>71</v>
      </c>
      <c r="B160" s="1054"/>
      <c r="C160" s="1054"/>
      <c r="D160" s="1054"/>
      <c r="E160" s="1054"/>
      <c r="F160" s="1055"/>
      <c r="H160" s="1054" t="s">
        <v>95</v>
      </c>
      <c r="I160" s="1054"/>
      <c r="J160" s="1054"/>
      <c r="K160" s="1054"/>
      <c r="L160" s="1054"/>
      <c r="M160" s="1054"/>
      <c r="N160" s="1054"/>
      <c r="O160" s="1054"/>
      <c r="P160" s="1055"/>
    </row>
    <row r="161" spans="1:16">
      <c r="A161" s="1087" t="s">
        <v>96</v>
      </c>
      <c r="B161" s="1016"/>
      <c r="C161" s="1016"/>
      <c r="D161" s="1016"/>
      <c r="E161" s="1016"/>
      <c r="F161" s="1017"/>
      <c r="H161" s="1016" t="s">
        <v>97</v>
      </c>
      <c r="I161" s="1016"/>
      <c r="J161" s="1016"/>
      <c r="K161" s="1016"/>
      <c r="L161" s="1016"/>
      <c r="M161" s="1016"/>
      <c r="N161" s="1016"/>
      <c r="O161" s="1016"/>
      <c r="P161" s="1017"/>
    </row>
    <row r="162" spans="1:16">
      <c r="A162" s="524"/>
      <c r="B162" s="488"/>
      <c r="C162" s="488"/>
      <c r="D162" s="488"/>
      <c r="E162" s="488"/>
      <c r="F162" s="494"/>
      <c r="G162" s="488"/>
      <c r="H162" s="488"/>
      <c r="I162" s="488"/>
      <c r="J162" s="488"/>
      <c r="K162" s="488"/>
      <c r="L162" s="488"/>
      <c r="M162" s="488"/>
      <c r="N162" s="488"/>
      <c r="O162" s="487"/>
      <c r="P162" s="494"/>
    </row>
    <row r="163" spans="1:16">
      <c r="A163" s="522" t="s">
        <v>48</v>
      </c>
      <c r="B163" s="531"/>
      <c r="F163" s="492"/>
      <c r="H163" s="484" t="s">
        <v>48</v>
      </c>
      <c r="J163" s="491"/>
      <c r="P163" s="492"/>
    </row>
    <row r="164" spans="1:16">
      <c r="A164" s="529" t="s">
        <v>75</v>
      </c>
      <c r="B164" s="490"/>
      <c r="C164" s="490"/>
      <c r="D164" s="490"/>
      <c r="E164" s="490"/>
      <c r="F164" s="491"/>
      <c r="G164" s="490"/>
      <c r="H164" s="501" t="s">
        <v>76</v>
      </c>
      <c r="I164" s="490"/>
      <c r="J164" s="490"/>
      <c r="K164" s="490"/>
      <c r="L164" s="490"/>
      <c r="M164" s="490"/>
      <c r="N164" s="490"/>
      <c r="O164" s="489"/>
      <c r="P164" s="491"/>
    </row>
    <row r="165" spans="1:16">
      <c r="A165" s="524"/>
      <c r="B165" s="488"/>
      <c r="C165" s="488"/>
      <c r="D165" s="488"/>
      <c r="E165" s="488"/>
      <c r="F165" s="494"/>
      <c r="G165" s="488"/>
      <c r="H165" s="488"/>
      <c r="I165" s="488"/>
      <c r="J165" s="488"/>
      <c r="K165" s="488"/>
      <c r="L165" s="488"/>
      <c r="M165" s="488"/>
      <c r="N165" s="488"/>
      <c r="O165" s="487"/>
      <c r="P165" s="494"/>
    </row>
    <row r="166" spans="1:16">
      <c r="A166" s="522"/>
      <c r="F166" s="492"/>
      <c r="G166" s="503" t="s">
        <v>77</v>
      </c>
      <c r="H166" s="503"/>
      <c r="I166" s="503"/>
      <c r="J166" s="543"/>
      <c r="K166" s="503" t="s">
        <v>78</v>
      </c>
      <c r="L166" s="543"/>
      <c r="M166" s="503"/>
      <c r="N166" s="503" t="s">
        <v>48</v>
      </c>
      <c r="P166" s="492"/>
    </row>
    <row r="167" spans="1:16">
      <c r="A167" s="522"/>
      <c r="F167" s="492"/>
      <c r="G167" s="532"/>
      <c r="H167" s="533"/>
      <c r="I167" s="533"/>
      <c r="J167" s="544"/>
      <c r="K167" s="533"/>
      <c r="L167" s="544"/>
      <c r="M167" s="533"/>
      <c r="N167" s="533"/>
      <c r="O167" s="487"/>
      <c r="P167" s="494"/>
    </row>
    <row r="168" spans="1:16">
      <c r="A168" s="522"/>
      <c r="F168" s="492"/>
      <c r="G168" s="503" t="s">
        <v>79</v>
      </c>
      <c r="H168" s="503"/>
      <c r="I168" s="503"/>
      <c r="J168" s="492"/>
      <c r="P168" s="492"/>
    </row>
    <row r="169" spans="1:16">
      <c r="A169" s="522"/>
      <c r="F169" s="492"/>
      <c r="G169" s="532"/>
      <c r="H169" s="503"/>
      <c r="I169" s="503"/>
      <c r="J169" s="492"/>
      <c r="P169" s="492"/>
    </row>
    <row r="170" spans="1:16">
      <c r="A170" s="1089"/>
      <c r="B170" s="1089"/>
      <c r="C170" s="1089"/>
      <c r="D170" s="1089" t="s">
        <v>98</v>
      </c>
      <c r="E170" s="1089"/>
      <c r="F170" s="1092"/>
      <c r="G170" s="503" t="s">
        <v>80</v>
      </c>
      <c r="H170" s="507"/>
      <c r="I170" s="507"/>
      <c r="J170" s="491"/>
      <c r="K170" s="490"/>
      <c r="L170" s="491"/>
      <c r="M170" s="490"/>
      <c r="N170" s="507" t="s">
        <v>48</v>
      </c>
      <c r="O170" s="489"/>
      <c r="P170" s="491"/>
    </row>
    <row r="171" spans="1:16">
      <c r="A171" s="1087" t="s">
        <v>99</v>
      </c>
      <c r="B171" s="1069"/>
      <c r="C171" s="1069"/>
      <c r="D171" s="1069"/>
      <c r="E171" s="1069"/>
      <c r="F171" s="1075"/>
      <c r="G171" s="534"/>
      <c r="H171" s="488"/>
      <c r="I171" s="488"/>
      <c r="J171" s="494"/>
      <c r="K171" s="488"/>
      <c r="L171" s="494"/>
      <c r="M171" s="488"/>
      <c r="N171" s="488"/>
      <c r="O171" s="487"/>
      <c r="P171" s="494"/>
    </row>
    <row r="172" spans="1:16">
      <c r="A172" s="522"/>
      <c r="F172" s="492"/>
      <c r="G172" s="535" t="s">
        <v>81</v>
      </c>
      <c r="K172" s="492"/>
      <c r="M172" s="503" t="s">
        <v>82</v>
      </c>
      <c r="P172" s="543" t="s">
        <v>48</v>
      </c>
    </row>
    <row r="173" spans="1:16">
      <c r="A173" s="522"/>
      <c r="F173" s="492"/>
      <c r="K173" s="492"/>
      <c r="M173" s="503" t="s">
        <v>50</v>
      </c>
      <c r="P173" s="492"/>
    </row>
    <row r="174" spans="1:16">
      <c r="A174" s="536"/>
      <c r="B174" s="537"/>
      <c r="C174" s="537"/>
      <c r="D174" s="537"/>
      <c r="E174" s="537"/>
      <c r="F174" s="538"/>
      <c r="G174" s="537"/>
      <c r="H174" s="537"/>
      <c r="I174" s="537"/>
      <c r="J174" s="537"/>
      <c r="K174" s="538"/>
      <c r="L174" s="537"/>
      <c r="M174" s="537"/>
      <c r="N174" s="494"/>
      <c r="P174" s="538"/>
    </row>
  </sheetData>
  <mergeCells count="84">
    <mergeCell ref="A171:F171"/>
    <mergeCell ref="A160:F160"/>
    <mergeCell ref="H160:P160"/>
    <mergeCell ref="A161:F161"/>
    <mergeCell ref="H161:P161"/>
    <mergeCell ref="A170:C170"/>
    <mergeCell ref="D170:F170"/>
    <mergeCell ref="H139:K139"/>
    <mergeCell ref="L139:P139"/>
    <mergeCell ref="A141:N141"/>
    <mergeCell ref="H155:P155"/>
    <mergeCell ref="A156:F156"/>
    <mergeCell ref="A126:P126"/>
    <mergeCell ref="A129:K129"/>
    <mergeCell ref="C135:F135"/>
    <mergeCell ref="G137:P137"/>
    <mergeCell ref="D138:F138"/>
    <mergeCell ref="A109:C109"/>
    <mergeCell ref="D109:F109"/>
    <mergeCell ref="A110:F110"/>
    <mergeCell ref="A124:P124"/>
    <mergeCell ref="A125:P125"/>
    <mergeCell ref="A95:F95"/>
    <mergeCell ref="A99:F99"/>
    <mergeCell ref="H99:P99"/>
    <mergeCell ref="A100:F100"/>
    <mergeCell ref="H100:P100"/>
    <mergeCell ref="D77:F77"/>
    <mergeCell ref="H78:K78"/>
    <mergeCell ref="L78:P78"/>
    <mergeCell ref="A80:N80"/>
    <mergeCell ref="H94:P94"/>
    <mergeCell ref="A64:P64"/>
    <mergeCell ref="A65:P65"/>
    <mergeCell ref="A68:K68"/>
    <mergeCell ref="C74:F74"/>
    <mergeCell ref="G76:P76"/>
    <mergeCell ref="A47:F47"/>
    <mergeCell ref="C48:F48"/>
    <mergeCell ref="A51:F51"/>
    <mergeCell ref="A52:F52"/>
    <mergeCell ref="A63:P63"/>
    <mergeCell ref="A37:F37"/>
    <mergeCell ref="A41:F41"/>
    <mergeCell ref="H41:P41"/>
    <mergeCell ref="A42:F42"/>
    <mergeCell ref="H42:P42"/>
    <mergeCell ref="B30:F30"/>
    <mergeCell ref="G30:J30"/>
    <mergeCell ref="G31:J31"/>
    <mergeCell ref="B32:J32"/>
    <mergeCell ref="H36:P36"/>
    <mergeCell ref="B27:F27"/>
    <mergeCell ref="H27:J27"/>
    <mergeCell ref="B28:F28"/>
    <mergeCell ref="G28:J28"/>
    <mergeCell ref="B29:F29"/>
    <mergeCell ref="G29:J29"/>
    <mergeCell ref="K24:N24"/>
    <mergeCell ref="B25:F25"/>
    <mergeCell ref="G25:J25"/>
    <mergeCell ref="B26:F26"/>
    <mergeCell ref="G26:J26"/>
    <mergeCell ref="B22:E22"/>
    <mergeCell ref="G22:J22"/>
    <mergeCell ref="B23:E23"/>
    <mergeCell ref="G23:J23"/>
    <mergeCell ref="B24:E24"/>
    <mergeCell ref="G24:J24"/>
    <mergeCell ref="A18:N18"/>
    <mergeCell ref="B19:M19"/>
    <mergeCell ref="B20:M20"/>
    <mergeCell ref="B21:E21"/>
    <mergeCell ref="G21:J21"/>
    <mergeCell ref="D13:F13"/>
    <mergeCell ref="H14:K14"/>
    <mergeCell ref="M14:P14"/>
    <mergeCell ref="A15:N15"/>
    <mergeCell ref="A16:N16"/>
    <mergeCell ref="A1:P1"/>
    <mergeCell ref="A2:P2"/>
    <mergeCell ref="A5:K5"/>
    <mergeCell ref="C11:F11"/>
    <mergeCell ref="G12:P12"/>
  </mergeCells>
  <printOptions horizontalCentered="1"/>
  <pageMargins left="0.55000000000000004" right="0.56000000000000005" top="0.75" bottom="0.11" header="0.5" footer="1.33"/>
  <pageSetup scale="90" orientation="portrait"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V70"/>
  <sheetViews>
    <sheetView showZeros="0" tabSelected="1" view="pageBreakPreview" topLeftCell="A31" zoomScale="50" zoomScaleNormal="50" zoomScaleSheetLayoutView="50" workbookViewId="0">
      <pane xSplit="4" topLeftCell="N1" activePane="topRight" state="frozen"/>
      <selection pane="topRight" activeCell="N45" sqref="N45"/>
    </sheetView>
  </sheetViews>
  <sheetFormatPr defaultColWidth="9.33203125" defaultRowHeight="23.4" outlineLevelRow="2"/>
  <cols>
    <col min="1" max="1" width="5" style="279" customWidth="1"/>
    <col min="2" max="2" width="18" style="279" customWidth="1"/>
    <col min="3" max="3" width="36.6640625" style="281" customWidth="1"/>
    <col min="4" max="4" width="10.33203125" style="274" customWidth="1"/>
    <col min="5" max="5" width="22.44140625" style="279" customWidth="1"/>
    <col min="6" max="6" width="19.6640625" style="42" customWidth="1"/>
    <col min="7" max="7" width="20" style="42" customWidth="1"/>
    <col min="8" max="8" width="12.109375" style="42" customWidth="1"/>
    <col min="9" max="9" width="16.109375" style="42" customWidth="1"/>
    <col min="10" max="10" width="19.6640625" style="42" customWidth="1"/>
    <col min="11" max="11" width="18.33203125" style="42" customWidth="1"/>
    <col min="12" max="14" width="19.6640625" style="42" customWidth="1"/>
    <col min="15" max="15" width="19.109375" style="42" customWidth="1"/>
    <col min="16" max="16" width="16.109375" style="42" customWidth="1"/>
    <col min="17" max="17" width="18.6640625" style="42" customWidth="1"/>
    <col min="18" max="18" width="18.6640625" style="282" customWidth="1"/>
    <col min="19" max="19" width="19.109375" style="282" customWidth="1"/>
    <col min="20" max="21" width="16" style="282" customWidth="1"/>
    <col min="22" max="22" width="18.109375" style="282" customWidth="1"/>
    <col min="23" max="23" width="18.6640625" style="283" customWidth="1"/>
    <col min="24" max="24" width="20.77734375" style="282" customWidth="1"/>
    <col min="25" max="25" width="20.6640625" style="42" customWidth="1"/>
    <col min="26" max="26" width="19" style="282" customWidth="1"/>
    <col min="27" max="27" width="2.109375" style="284" hidden="1" customWidth="1"/>
    <col min="28" max="28" width="19.6640625" style="42" customWidth="1"/>
    <col min="29" max="29" width="17.44140625" style="42" customWidth="1"/>
    <col min="30" max="30" width="18.109375" style="42" customWidth="1"/>
    <col min="31" max="31" width="16" style="42" customWidth="1"/>
    <col min="32" max="32" width="32.77734375" style="285" customWidth="1"/>
    <col min="33" max="33" width="14.77734375" style="286" customWidth="1"/>
    <col min="34" max="16384" width="9.33203125" style="42"/>
  </cols>
  <sheetData>
    <row r="1" spans="1:48" ht="25.2">
      <c r="Q1" s="1093" t="s">
        <v>100</v>
      </c>
      <c r="R1" s="1093"/>
      <c r="S1" s="1093"/>
      <c r="T1" s="1093"/>
      <c r="U1" s="1093"/>
      <c r="V1" s="1093"/>
      <c r="W1" s="1093"/>
      <c r="X1" s="1093"/>
      <c r="Y1" s="1093"/>
      <c r="Z1" s="1093"/>
      <c r="AA1" s="1093"/>
      <c r="AF1" s="460"/>
    </row>
    <row r="2" spans="1:48" ht="69.75" customHeight="1" thickBot="1">
      <c r="C2" s="279" t="s">
        <v>22</v>
      </c>
      <c r="F2" s="279"/>
      <c r="G2" s="279"/>
      <c r="H2" s="279"/>
      <c r="I2" s="279"/>
      <c r="J2" s="279"/>
      <c r="K2" s="279"/>
      <c r="L2" s="279"/>
      <c r="M2" s="279"/>
      <c r="N2" s="1094" t="s">
        <v>688</v>
      </c>
      <c r="O2" s="1094"/>
      <c r="P2" s="1094"/>
      <c r="Q2" s="1094"/>
      <c r="R2" s="1094"/>
      <c r="S2" s="1094"/>
      <c r="T2" s="1094"/>
      <c r="U2" s="1094"/>
      <c r="V2" s="1094"/>
      <c r="W2" s="1094"/>
      <c r="X2" s="1094"/>
      <c r="Y2" s="1094"/>
      <c r="Z2" s="1094"/>
      <c r="AA2" s="1094"/>
      <c r="AB2" s="279"/>
      <c r="AC2" s="279"/>
      <c r="AD2" s="279"/>
      <c r="AE2" s="279"/>
      <c r="AF2" s="461"/>
    </row>
    <row r="3" spans="1:48" ht="16.5" customHeight="1" thickTop="1">
      <c r="A3" s="1112" t="s">
        <v>101</v>
      </c>
      <c r="B3" s="287"/>
      <c r="C3" s="288" t="s">
        <v>19</v>
      </c>
      <c r="D3" s="289"/>
      <c r="E3" s="290"/>
      <c r="F3" s="1095" t="s">
        <v>102</v>
      </c>
      <c r="G3" s="1096"/>
      <c r="H3" s="1096"/>
      <c r="I3" s="1096"/>
      <c r="J3" s="1096"/>
      <c r="K3" s="1096"/>
      <c r="L3" s="1096"/>
      <c r="M3" s="1096"/>
      <c r="N3" s="1096"/>
      <c r="O3" s="1096"/>
      <c r="P3" s="1096"/>
      <c r="Q3" s="1096"/>
      <c r="R3" s="1096"/>
      <c r="S3" s="1096"/>
      <c r="T3" s="1096"/>
      <c r="U3" s="1096"/>
      <c r="V3" s="1096"/>
      <c r="W3" s="1096"/>
      <c r="X3" s="1096"/>
      <c r="Y3" s="1096"/>
      <c r="Z3" s="1096"/>
      <c r="AA3" s="1096"/>
      <c r="AB3" s="1096"/>
      <c r="AC3" s="1096"/>
      <c r="AD3" s="1096"/>
      <c r="AE3" s="462"/>
      <c r="AF3" s="463"/>
      <c r="AG3" s="1112" t="s">
        <v>101</v>
      </c>
    </row>
    <row r="4" spans="1:48" ht="27" customHeight="1">
      <c r="A4" s="1113"/>
      <c r="B4" s="291"/>
      <c r="C4" s="292"/>
      <c r="D4" s="727" t="s">
        <v>109</v>
      </c>
      <c r="E4" s="728"/>
      <c r="F4" s="1097" t="s">
        <v>103</v>
      </c>
      <c r="G4" s="1097"/>
      <c r="H4" s="1097"/>
      <c r="I4" s="1097"/>
      <c r="J4" s="1097"/>
      <c r="K4" s="1097"/>
      <c r="L4" s="1097"/>
      <c r="M4" s="1097"/>
      <c r="N4" s="1097"/>
      <c r="O4" s="1097"/>
      <c r="P4" s="1097"/>
      <c r="Q4" s="1098" t="s">
        <v>104</v>
      </c>
      <c r="R4" s="1098"/>
      <c r="S4" s="1098"/>
      <c r="T4" s="1098"/>
      <c r="U4" s="386"/>
      <c r="V4" s="1099" t="s">
        <v>105</v>
      </c>
      <c r="W4" s="1100"/>
      <c r="X4" s="419"/>
      <c r="Y4" s="420"/>
      <c r="Z4" s="421"/>
      <c r="AA4" s="420"/>
      <c r="AB4" s="1101" t="s">
        <v>106</v>
      </c>
      <c r="AC4" s="1102"/>
      <c r="AD4" s="1102"/>
      <c r="AE4" s="279"/>
      <c r="AF4" s="464" t="s">
        <v>13</v>
      </c>
      <c r="AG4" s="1113"/>
    </row>
    <row r="5" spans="1:48" ht="6.75" customHeight="1">
      <c r="A5" s="1113"/>
      <c r="B5" s="291"/>
      <c r="C5" s="294"/>
      <c r="D5" s="293"/>
      <c r="E5" s="295"/>
      <c r="Y5" s="294"/>
      <c r="AA5" s="294" t="s">
        <v>107</v>
      </c>
      <c r="AE5" s="420"/>
      <c r="AF5" s="464"/>
      <c r="AG5" s="1113"/>
    </row>
    <row r="6" spans="1:48" ht="23.25" customHeight="1">
      <c r="A6" s="1113"/>
      <c r="B6" s="291"/>
      <c r="C6" s="294" t="s">
        <v>108</v>
      </c>
      <c r="D6" s="726"/>
      <c r="E6" s="725"/>
      <c r="F6" s="1125" t="s">
        <v>110</v>
      </c>
      <c r="G6" s="1125"/>
      <c r="Y6" s="294"/>
      <c r="AA6" s="294" t="s">
        <v>111</v>
      </c>
      <c r="AB6" s="453"/>
      <c r="AE6" s="294"/>
      <c r="AF6" s="464" t="s">
        <v>112</v>
      </c>
      <c r="AG6" s="1113"/>
    </row>
    <row r="7" spans="1:48" ht="21.75" customHeight="1">
      <c r="A7" s="1113"/>
      <c r="B7" s="296"/>
      <c r="C7" s="297"/>
      <c r="D7" s="293"/>
      <c r="E7" s="294" t="s">
        <v>19</v>
      </c>
      <c r="F7" s="298" t="s">
        <v>113</v>
      </c>
      <c r="G7" s="298" t="s">
        <v>114</v>
      </c>
      <c r="H7" s="298" t="s">
        <v>28</v>
      </c>
      <c r="I7" s="364" t="s">
        <v>115</v>
      </c>
      <c r="J7" s="298" t="s">
        <v>116</v>
      </c>
      <c r="K7" s="298" t="s">
        <v>117</v>
      </c>
      <c r="L7" s="298" t="s">
        <v>21</v>
      </c>
      <c r="M7" s="298" t="s">
        <v>21</v>
      </c>
      <c r="N7" s="298"/>
      <c r="O7" s="298" t="s">
        <v>118</v>
      </c>
      <c r="P7" s="298" t="s">
        <v>119</v>
      </c>
      <c r="Q7" s="298" t="s">
        <v>113</v>
      </c>
      <c r="R7" s="387" t="s">
        <v>120</v>
      </c>
      <c r="S7" s="387" t="s">
        <v>121</v>
      </c>
      <c r="T7" s="298" t="s">
        <v>122</v>
      </c>
      <c r="U7" s="958" t="s">
        <v>696</v>
      </c>
      <c r="V7" s="298" t="s">
        <v>113</v>
      </c>
      <c r="W7" s="298" t="s">
        <v>120</v>
      </c>
      <c r="X7" s="422" t="s">
        <v>123</v>
      </c>
      <c r="Y7" s="387" t="s">
        <v>124</v>
      </c>
      <c r="Z7" s="387" t="s">
        <v>125</v>
      </c>
      <c r="AA7" s="423" t="s">
        <v>124</v>
      </c>
      <c r="AB7" s="454" t="s">
        <v>458</v>
      </c>
      <c r="AC7" s="298" t="s">
        <v>30</v>
      </c>
      <c r="AD7" s="455"/>
      <c r="AE7" s="1115" t="s">
        <v>33</v>
      </c>
      <c r="AF7" s="464" t="s">
        <v>130</v>
      </c>
      <c r="AG7" s="1113"/>
    </row>
    <row r="8" spans="1:48" s="51" customFormat="1" ht="20.25" customHeight="1">
      <c r="A8" s="1114"/>
      <c r="B8" s="299" t="s">
        <v>131</v>
      </c>
      <c r="C8" s="693" t="s">
        <v>702</v>
      </c>
      <c r="D8" s="293"/>
      <c r="E8" s="279"/>
      <c r="F8" s="299" t="s">
        <v>132</v>
      </c>
      <c r="G8" s="299" t="s">
        <v>132</v>
      </c>
      <c r="H8" s="299"/>
      <c r="I8" s="365" t="s">
        <v>133</v>
      </c>
      <c r="J8" s="365" t="s">
        <v>133</v>
      </c>
      <c r="K8" s="299" t="s">
        <v>133</v>
      </c>
      <c r="L8" s="299" t="s">
        <v>134</v>
      </c>
      <c r="M8" s="299" t="s">
        <v>135</v>
      </c>
      <c r="N8" s="299" t="s">
        <v>136</v>
      </c>
      <c r="O8" s="299" t="s">
        <v>137</v>
      </c>
      <c r="P8" s="299" t="s">
        <v>138</v>
      </c>
      <c r="Q8" s="299" t="s">
        <v>132</v>
      </c>
      <c r="R8" s="388" t="s">
        <v>132</v>
      </c>
      <c r="S8" s="389" t="s">
        <v>133</v>
      </c>
      <c r="T8" s="389" t="s">
        <v>133</v>
      </c>
      <c r="U8" s="957" t="s">
        <v>697</v>
      </c>
      <c r="V8" s="299" t="s">
        <v>132</v>
      </c>
      <c r="W8" s="299" t="s">
        <v>132</v>
      </c>
      <c r="X8" s="424" t="s">
        <v>140</v>
      </c>
      <c r="Y8" s="299" t="s">
        <v>141</v>
      </c>
      <c r="Z8" s="299" t="s">
        <v>141</v>
      </c>
      <c r="AA8" s="294" t="s">
        <v>141</v>
      </c>
      <c r="AB8" s="456"/>
      <c r="AC8" s="465">
        <v>46054</v>
      </c>
      <c r="AD8" s="455" t="s">
        <v>31</v>
      </c>
      <c r="AE8" s="1116"/>
      <c r="AF8" s="464"/>
      <c r="AG8" s="1113"/>
      <c r="AH8" s="42"/>
      <c r="AI8" s="42"/>
      <c r="AJ8" s="42"/>
      <c r="AK8" s="42"/>
      <c r="AL8" s="42"/>
      <c r="AM8" s="42"/>
      <c r="AN8" s="42"/>
      <c r="AO8" s="42"/>
      <c r="AP8" s="42"/>
      <c r="AQ8" s="42"/>
      <c r="AR8" s="42"/>
      <c r="AS8" s="42"/>
      <c r="AT8" s="42"/>
      <c r="AU8" s="42"/>
      <c r="AV8" s="42"/>
    </row>
    <row r="9" spans="1:48" s="51" customFormat="1" ht="30" customHeight="1" thickBot="1">
      <c r="A9" s="300"/>
      <c r="B9" s="301" t="s">
        <v>143</v>
      </c>
      <c r="C9" s="302" t="s">
        <v>144</v>
      </c>
      <c r="D9" s="303" t="s">
        <v>145</v>
      </c>
      <c r="E9" s="303">
        <v>4</v>
      </c>
      <c r="F9" s="303" t="s">
        <v>146</v>
      </c>
      <c r="G9" s="303" t="s">
        <v>147</v>
      </c>
      <c r="H9" s="303" t="s">
        <v>148</v>
      </c>
      <c r="I9" s="303" t="s">
        <v>149</v>
      </c>
      <c r="J9" s="303" t="s">
        <v>150</v>
      </c>
      <c r="K9" s="303" t="s">
        <v>152</v>
      </c>
      <c r="L9" s="303" t="s">
        <v>153</v>
      </c>
      <c r="M9" s="303"/>
      <c r="N9" s="303" t="s">
        <v>154</v>
      </c>
      <c r="O9" s="303"/>
      <c r="P9" s="303" t="s">
        <v>155</v>
      </c>
      <c r="Q9" s="303" t="s">
        <v>156</v>
      </c>
      <c r="R9" s="390">
        <v>17</v>
      </c>
      <c r="S9" s="390">
        <v>18</v>
      </c>
      <c r="T9" s="390">
        <v>19</v>
      </c>
      <c r="U9" s="390">
        <v>20</v>
      </c>
      <c r="V9" s="390">
        <v>21</v>
      </c>
      <c r="W9" s="391">
        <v>22</v>
      </c>
      <c r="X9" s="391">
        <v>23</v>
      </c>
      <c r="Y9" s="303" t="s">
        <v>157</v>
      </c>
      <c r="Z9" s="391">
        <v>25</v>
      </c>
      <c r="AA9" s="303" t="s">
        <v>151</v>
      </c>
      <c r="AB9" s="303" t="s">
        <v>158</v>
      </c>
      <c r="AC9" s="303" t="s">
        <v>159</v>
      </c>
      <c r="AD9" s="303" t="s">
        <v>160</v>
      </c>
      <c r="AE9" s="303" t="s">
        <v>161</v>
      </c>
      <c r="AF9" s="466">
        <v>43</v>
      </c>
      <c r="AG9" s="478"/>
      <c r="AH9" s="42"/>
      <c r="AI9" s="42"/>
      <c r="AJ9" s="42"/>
      <c r="AK9" s="42"/>
      <c r="AL9" s="42"/>
      <c r="AM9" s="42"/>
      <c r="AN9" s="42"/>
      <c r="AO9" s="42"/>
      <c r="AP9" s="42"/>
      <c r="AQ9" s="42"/>
      <c r="AR9" s="42"/>
      <c r="AS9" s="42"/>
      <c r="AT9" s="42"/>
      <c r="AU9" s="42"/>
      <c r="AV9" s="42"/>
    </row>
    <row r="10" spans="1:48" s="273" customFormat="1" ht="30" customHeight="1" outlineLevel="2" thickTop="1">
      <c r="A10" s="304">
        <v>1</v>
      </c>
      <c r="B10" s="305" t="s">
        <v>162</v>
      </c>
      <c r="C10" s="306" t="s">
        <v>42</v>
      </c>
      <c r="D10" s="306" t="s">
        <v>163</v>
      </c>
      <c r="E10" s="307">
        <f>' gsis'!H16</f>
        <v>132280</v>
      </c>
      <c r="F10" s="308">
        <f>' gsis'!I16</f>
        <v>11905.199999999999</v>
      </c>
      <c r="G10" s="308">
        <f>' gsis'!J16</f>
        <v>15873.599999999999</v>
      </c>
      <c r="H10" s="309">
        <f>' gsis'!K16</f>
        <v>100</v>
      </c>
      <c r="I10" s="322"/>
      <c r="J10" s="308"/>
      <c r="K10" s="334"/>
      <c r="L10" s="366"/>
      <c r="M10" s="366"/>
      <c r="N10" s="366"/>
      <c r="O10" s="366"/>
      <c r="P10" s="378"/>
      <c r="Q10" s="392">
        <f>'PAG-IBIG'!H14</f>
        <v>2000</v>
      </c>
      <c r="R10" s="393">
        <f>'PAG-IBIG'!I14</f>
        <v>200</v>
      </c>
      <c r="S10" s="394"/>
      <c r="T10" s="308"/>
      <c r="U10" s="395"/>
      <c r="V10" s="396">
        <f>'PHIC (1)'!W14</f>
        <v>2500</v>
      </c>
      <c r="W10" s="334">
        <f>'PHIC (1)'!X14</f>
        <v>2500</v>
      </c>
      <c r="X10" s="425">
        <f>WTAX!H14</f>
        <v>26527.119999999999</v>
      </c>
      <c r="Y10" s="333"/>
      <c r="Z10" s="426"/>
      <c r="AA10" s="427"/>
      <c r="AB10" s="457">
        <f>CNGWMPC!S15</f>
        <v>26407.68</v>
      </c>
      <c r="AC10" s="308">
        <v>2000</v>
      </c>
      <c r="AD10" s="308">
        <v>9500</v>
      </c>
      <c r="AE10" s="426">
        <v>9500</v>
      </c>
      <c r="AF10" s="467">
        <f t="shared" ref="AF10:AF45" si="0">E10-F10-I10-J10-K10-L10-M10-N10-O10-P10-Q10-S10-T10-V10-X10-Y10-Z10-AB10+AC10+AD10+AE10</f>
        <v>83940</v>
      </c>
      <c r="AG10" s="479">
        <v>1</v>
      </c>
      <c r="AH10" s="42"/>
      <c r="AI10" s="42"/>
      <c r="AJ10" s="42"/>
      <c r="AK10" s="42"/>
      <c r="AL10" s="42"/>
      <c r="AM10" s="42"/>
      <c r="AN10" s="42"/>
      <c r="AO10" s="42"/>
      <c r="AP10" s="42"/>
      <c r="AQ10" s="42"/>
      <c r="AR10" s="42"/>
      <c r="AS10" s="42"/>
      <c r="AT10" s="42"/>
      <c r="AU10" s="42"/>
      <c r="AV10" s="42"/>
    </row>
    <row r="11" spans="1:48" s="273" customFormat="1" ht="30" customHeight="1" outlineLevel="2" thickBot="1">
      <c r="A11" s="304">
        <v>2</v>
      </c>
      <c r="B11" s="305" t="s">
        <v>164</v>
      </c>
      <c r="C11" s="310" t="s">
        <v>165</v>
      </c>
      <c r="D11" s="311" t="s">
        <v>166</v>
      </c>
      <c r="E11" s="307">
        <f>' gsis'!H17</f>
        <v>81564</v>
      </c>
      <c r="F11" s="308">
        <f>' gsis'!I17</f>
        <v>7340.7599999999993</v>
      </c>
      <c r="G11" s="308">
        <f>' gsis'!J17</f>
        <v>9787.68</v>
      </c>
      <c r="H11" s="309">
        <f>' gsis'!K17</f>
        <v>100</v>
      </c>
      <c r="I11" s="334"/>
      <c r="J11" s="306"/>
      <c r="K11" s="334"/>
      <c r="L11" s="367">
        <f>' gsis'!R17</f>
        <v>12189.13</v>
      </c>
      <c r="M11" s="367">
        <f>' gsis'!S17</f>
        <v>2333.33</v>
      </c>
      <c r="N11" s="367">
        <f>' gsis'!Q17</f>
        <v>9634.44</v>
      </c>
      <c r="O11" s="367"/>
      <c r="P11" s="367"/>
      <c r="Q11" s="397">
        <f>'PAG-IBIG'!H15</f>
        <v>500</v>
      </c>
      <c r="R11" s="398">
        <f>'PAG-IBIG'!I15</f>
        <v>200</v>
      </c>
      <c r="S11" s="334"/>
      <c r="T11" s="334"/>
      <c r="U11" s="334"/>
      <c r="V11" s="396">
        <f>'PHIC (1)'!W15</f>
        <v>2039.1</v>
      </c>
      <c r="W11" s="334">
        <f>'PHIC (1)'!X15</f>
        <v>2039.1</v>
      </c>
      <c r="X11" s="428">
        <f>WTAX!H15</f>
        <v>12862.52</v>
      </c>
      <c r="Y11" s="334">
        <f>DBP!G19</f>
        <v>14483.61</v>
      </c>
      <c r="Z11" s="426"/>
      <c r="AA11" s="429"/>
      <c r="AB11" s="457">
        <f>CNGWMPC!S16</f>
        <v>701.11</v>
      </c>
      <c r="AC11" s="308">
        <v>2000</v>
      </c>
      <c r="AD11" s="334"/>
      <c r="AE11" s="426"/>
      <c r="AF11" s="467">
        <f t="shared" si="0"/>
        <v>21480</v>
      </c>
      <c r="AG11" s="479">
        <v>2</v>
      </c>
      <c r="AH11" s="42"/>
      <c r="AI11" s="42"/>
      <c r="AJ11" s="42"/>
      <c r="AK11" s="42"/>
      <c r="AL11" s="42"/>
      <c r="AM11" s="42"/>
      <c r="AN11" s="42"/>
      <c r="AO11" s="42"/>
      <c r="AP11" s="42"/>
      <c r="AQ11" s="42"/>
      <c r="AR11" s="42"/>
      <c r="AS11" s="42"/>
      <c r="AT11" s="42"/>
      <c r="AU11" s="42"/>
      <c r="AV11" s="42"/>
    </row>
    <row r="12" spans="1:48" s="274" customFormat="1" ht="30" customHeight="1" outlineLevel="2" thickTop="1" thickBot="1">
      <c r="A12" s="304">
        <v>3</v>
      </c>
      <c r="B12" s="305" t="s">
        <v>167</v>
      </c>
      <c r="C12" s="312" t="s">
        <v>168</v>
      </c>
      <c r="D12" s="306" t="s">
        <v>645</v>
      </c>
      <c r="E12" s="307">
        <f>' gsis'!H18</f>
        <v>78162</v>
      </c>
      <c r="F12" s="308">
        <f>' gsis'!I18</f>
        <v>7034.58</v>
      </c>
      <c r="G12" s="308">
        <f>' gsis'!J18</f>
        <v>9379.44</v>
      </c>
      <c r="H12" s="309">
        <f>' gsis'!K18</f>
        <v>100</v>
      </c>
      <c r="I12" s="334"/>
      <c r="J12" s="334"/>
      <c r="K12" s="334">
        <f>' gsis'!N18</f>
        <v>0</v>
      </c>
      <c r="L12" s="367">
        <f>' gsis'!R18</f>
        <v>12177.29</v>
      </c>
      <c r="M12" s="367">
        <f>' gsis'!S18</f>
        <v>2333.33</v>
      </c>
      <c r="N12" s="367">
        <f>' gsis'!Q18</f>
        <v>9634.44</v>
      </c>
      <c r="O12" s="367">
        <f>' gsis'!P18</f>
        <v>1966.67</v>
      </c>
      <c r="P12" s="367"/>
      <c r="Q12" s="392">
        <f>'PAG-IBIG'!H16</f>
        <v>700</v>
      </c>
      <c r="R12" s="399">
        <f>'PAG-IBIG'!I16</f>
        <v>200</v>
      </c>
      <c r="S12" s="400">
        <f>'PAG-IBIG'!J16</f>
        <v>1500</v>
      </c>
      <c r="T12" s="334"/>
      <c r="U12" s="334"/>
      <c r="V12" s="396">
        <f>'PHIC (1)'!W16</f>
        <v>1954.05</v>
      </c>
      <c r="W12" s="334">
        <f>'PHIC (1)'!X16</f>
        <v>1954.05</v>
      </c>
      <c r="X12" s="425">
        <f>WTAX!H16</f>
        <v>11950.31</v>
      </c>
      <c r="Y12" s="334">
        <f>DBP!G17</f>
        <v>2633.38</v>
      </c>
      <c r="Z12" s="430">
        <f>LBP!H20</f>
        <v>15756.7</v>
      </c>
      <c r="AA12" s="429"/>
      <c r="AB12" s="457">
        <f>CNGWMPC!S17</f>
        <v>3131.25</v>
      </c>
      <c r="AC12" s="308">
        <v>2000</v>
      </c>
      <c r="AD12" s="334"/>
      <c r="AE12" s="430"/>
      <c r="AF12" s="467">
        <f t="shared" si="0"/>
        <v>9389.9999999999927</v>
      </c>
      <c r="AG12" s="479">
        <v>3</v>
      </c>
      <c r="AH12" s="42"/>
      <c r="AI12" s="42"/>
      <c r="AJ12" s="42"/>
      <c r="AK12" s="42"/>
      <c r="AL12" s="42"/>
      <c r="AM12" s="42"/>
      <c r="AN12" s="42"/>
      <c r="AO12" s="42"/>
      <c r="AP12" s="42"/>
      <c r="AQ12" s="42"/>
      <c r="AR12" s="42"/>
      <c r="AS12" s="42"/>
      <c r="AT12" s="42"/>
      <c r="AU12" s="42"/>
      <c r="AV12" s="42"/>
    </row>
    <row r="13" spans="1:48" s="275" customFormat="1" ht="30" customHeight="1" outlineLevel="2">
      <c r="A13" s="304">
        <v>4</v>
      </c>
      <c r="B13" s="305" t="s">
        <v>170</v>
      </c>
      <c r="C13" s="313" t="s">
        <v>171</v>
      </c>
      <c r="D13" s="306" t="s">
        <v>169</v>
      </c>
      <c r="E13" s="307">
        <f>' gsis'!H19</f>
        <v>41413</v>
      </c>
      <c r="F13" s="308">
        <f>' gsis'!I19</f>
        <v>3727.17</v>
      </c>
      <c r="G13" s="308">
        <f>' gsis'!J19</f>
        <v>4969.5599999999995</v>
      </c>
      <c r="H13" s="309">
        <f>' gsis'!K19</f>
        <v>100</v>
      </c>
      <c r="I13" s="334"/>
      <c r="J13" s="334"/>
      <c r="K13" s="308">
        <f>' gsis'!N19</f>
        <v>655.56</v>
      </c>
      <c r="L13" s="366">
        <f>' gsis'!R19</f>
        <v>4408.8999999999996</v>
      </c>
      <c r="M13" s="366">
        <f>' gsis'!S19</f>
        <v>2333.33</v>
      </c>
      <c r="N13" s="366"/>
      <c r="O13" s="366">
        <f>' gsis'!P19</f>
        <v>1966.67</v>
      </c>
      <c r="P13" s="367">
        <f>' gsis'!M19</f>
        <v>300</v>
      </c>
      <c r="Q13" s="397">
        <f>'PAG-IBIG'!H17</f>
        <v>200</v>
      </c>
      <c r="R13" s="401">
        <f>'PAG-IBIG'!I17</f>
        <v>200</v>
      </c>
      <c r="S13" s="334"/>
      <c r="T13" s="367"/>
      <c r="U13" s="367"/>
      <c r="V13" s="396">
        <f>'PHIC (1)'!W17</f>
        <v>1035.32</v>
      </c>
      <c r="W13" s="334">
        <f>'PHIC (1)'!X17</f>
        <v>1035.33</v>
      </c>
      <c r="X13" s="308">
        <f>WTAX!H17</f>
        <v>3394.69</v>
      </c>
      <c r="Y13" s="431"/>
      <c r="Z13" s="430"/>
      <c r="AA13" s="429"/>
      <c r="AB13" s="457">
        <f>CNGWMPC!S18</f>
        <v>1301.3600000000001</v>
      </c>
      <c r="AC13" s="308">
        <v>2000</v>
      </c>
      <c r="AD13" s="334"/>
      <c r="AE13" s="468"/>
      <c r="AF13" s="467">
        <f t="shared" si="0"/>
        <v>24090.000000000004</v>
      </c>
      <c r="AG13" s="479">
        <v>4</v>
      </c>
      <c r="AH13" s="42"/>
      <c r="AI13" s="42"/>
      <c r="AJ13" s="42"/>
      <c r="AK13" s="42"/>
      <c r="AL13" s="42"/>
      <c r="AM13" s="42"/>
      <c r="AN13" s="42"/>
      <c r="AO13" s="42"/>
      <c r="AP13" s="42"/>
      <c r="AQ13" s="42"/>
      <c r="AR13" s="42"/>
      <c r="AS13" s="42"/>
      <c r="AT13" s="42"/>
      <c r="AU13" s="42"/>
      <c r="AV13" s="42"/>
    </row>
    <row r="14" spans="1:48" s="275" customFormat="1" ht="30" customHeight="1" outlineLevel="2">
      <c r="A14" s="304">
        <v>5</v>
      </c>
      <c r="B14" s="305" t="s">
        <v>172</v>
      </c>
      <c r="C14" s="312" t="s">
        <v>173</v>
      </c>
      <c r="D14" s="314" t="s">
        <v>174</v>
      </c>
      <c r="E14" s="307">
        <f>' gsis'!H20</f>
        <v>51304</v>
      </c>
      <c r="F14" s="308">
        <f>' gsis'!I20</f>
        <v>4617.3599999999997</v>
      </c>
      <c r="G14" s="308">
        <f>' gsis'!J20</f>
        <v>6156.48</v>
      </c>
      <c r="H14" s="309">
        <f>' gsis'!K20</f>
        <v>100</v>
      </c>
      <c r="I14" s="334"/>
      <c r="J14" s="334"/>
      <c r="K14" s="334">
        <f>' gsis'!N20</f>
        <v>0</v>
      </c>
      <c r="L14" s="367">
        <f>' gsis'!R20</f>
        <v>7992.93</v>
      </c>
      <c r="M14" s="367">
        <f>' gsis'!S20</f>
        <v>2333.33</v>
      </c>
      <c r="N14" s="367">
        <f>' gsis'!Q20</f>
        <v>9634.44</v>
      </c>
      <c r="O14" s="367">
        <f>' gsis'!P20</f>
        <v>1966.67</v>
      </c>
      <c r="P14" s="367">
        <f>' gsis'!M20</f>
        <v>200</v>
      </c>
      <c r="Q14" s="392">
        <f>'PAG-IBIG'!H18</f>
        <v>400</v>
      </c>
      <c r="R14" s="395">
        <f>'PAG-IBIG'!I18</f>
        <v>200</v>
      </c>
      <c r="S14" s="334"/>
      <c r="T14" s="367">
        <f>'PAG-IBIG'!K18</f>
        <v>0</v>
      </c>
      <c r="U14" s="367"/>
      <c r="V14" s="396">
        <f>'PHIC (1)'!W18</f>
        <v>1282.5999999999999</v>
      </c>
      <c r="W14" s="334">
        <f>'PHIC (1)'!X18</f>
        <v>1282.5999999999999</v>
      </c>
      <c r="X14" s="425">
        <f>WTAX!H18</f>
        <v>5518.71</v>
      </c>
      <c r="Y14" s="334">
        <f>DBP!G18</f>
        <v>5266.77</v>
      </c>
      <c r="Z14" s="430"/>
      <c r="AA14" s="429"/>
      <c r="AB14" s="457">
        <f>CNGWMPC!S19</f>
        <v>2971.19</v>
      </c>
      <c r="AC14" s="308">
        <v>2000</v>
      </c>
      <c r="AD14" s="334"/>
      <c r="AE14" s="430"/>
      <c r="AF14" s="467">
        <f t="shared" si="0"/>
        <v>11119.999999999998</v>
      </c>
      <c r="AG14" s="479">
        <v>5</v>
      </c>
      <c r="AH14" s="42"/>
      <c r="AI14" s="42"/>
      <c r="AJ14" s="42"/>
      <c r="AK14" s="42"/>
      <c r="AL14" s="42"/>
      <c r="AM14" s="42"/>
      <c r="AN14" s="42"/>
      <c r="AO14" s="42"/>
      <c r="AP14" s="42"/>
      <c r="AQ14" s="42"/>
      <c r="AR14" s="42"/>
      <c r="AS14" s="42"/>
      <c r="AT14" s="42"/>
      <c r="AU14" s="42"/>
      <c r="AV14" s="42"/>
    </row>
    <row r="15" spans="1:48" s="275" customFormat="1" ht="30" customHeight="1" outlineLevel="2">
      <c r="A15" s="304">
        <v>6</v>
      </c>
      <c r="B15" s="305" t="s">
        <v>175</v>
      </c>
      <c r="C15" s="315" t="s">
        <v>176</v>
      </c>
      <c r="D15" s="306" t="s">
        <v>177</v>
      </c>
      <c r="E15" s="307">
        <f>' gsis'!H21</f>
        <v>38118</v>
      </c>
      <c r="F15" s="308">
        <f>' gsis'!I21</f>
        <v>3430.62</v>
      </c>
      <c r="G15" s="308">
        <f>' gsis'!J21</f>
        <v>4574.16</v>
      </c>
      <c r="H15" s="309">
        <f>' gsis'!K21</f>
        <v>100</v>
      </c>
      <c r="I15" s="334"/>
      <c r="J15" s="334"/>
      <c r="K15" s="334">
        <f>' gsis'!N21</f>
        <v>1311.12</v>
      </c>
      <c r="L15" s="367">
        <f>' gsis'!R21</f>
        <v>6298.92</v>
      </c>
      <c r="M15" s="367"/>
      <c r="N15" s="367"/>
      <c r="O15" s="367"/>
      <c r="P15" s="367">
        <f>' gsis'!M21</f>
        <v>200</v>
      </c>
      <c r="Q15" s="392">
        <f>'PAG-IBIG'!H19</f>
        <v>500</v>
      </c>
      <c r="R15" s="402">
        <f>'PAG-IBIG'!I19</f>
        <v>200</v>
      </c>
      <c r="S15" s="403"/>
      <c r="T15" s="367"/>
      <c r="U15" s="367"/>
      <c r="V15" s="396">
        <f>'PHIC (1)'!W19</f>
        <v>952.95</v>
      </c>
      <c r="W15" s="334">
        <f>'PHIC (1)'!X19</f>
        <v>952.95</v>
      </c>
      <c r="X15" s="425">
        <f>WTAX!H19</f>
        <v>2597.29</v>
      </c>
      <c r="Y15" s="334">
        <f>DBP!G16</f>
        <v>7900.15</v>
      </c>
      <c r="Z15" s="432"/>
      <c r="AA15" s="429"/>
      <c r="AB15" s="457">
        <f>CNGWMPC!S20</f>
        <v>6756.95</v>
      </c>
      <c r="AC15" s="308">
        <v>2000</v>
      </c>
      <c r="AD15" s="334"/>
      <c r="AE15" s="432"/>
      <c r="AF15" s="467">
        <f t="shared" si="0"/>
        <v>10169.999999999996</v>
      </c>
      <c r="AG15" s="479">
        <v>6</v>
      </c>
      <c r="AH15" s="42"/>
      <c r="AI15" s="42"/>
      <c r="AJ15" s="42"/>
      <c r="AK15" s="42"/>
      <c r="AL15" s="42"/>
      <c r="AM15" s="42"/>
      <c r="AN15" s="42"/>
      <c r="AO15" s="42"/>
      <c r="AP15" s="42"/>
      <c r="AQ15" s="42"/>
      <c r="AR15" s="42"/>
      <c r="AS15" s="42"/>
      <c r="AT15" s="42"/>
      <c r="AU15" s="42"/>
      <c r="AV15" s="42"/>
    </row>
    <row r="16" spans="1:48" ht="30" customHeight="1" outlineLevel="2">
      <c r="A16" s="304">
        <v>7</v>
      </c>
      <c r="B16" s="305" t="s">
        <v>178</v>
      </c>
      <c r="C16" s="317" t="s">
        <v>179</v>
      </c>
      <c r="D16" s="318" t="s">
        <v>180</v>
      </c>
      <c r="E16" s="307">
        <f>' gsis'!H22</f>
        <v>41006</v>
      </c>
      <c r="F16" s="308">
        <f>' gsis'!I22</f>
        <v>3690.54</v>
      </c>
      <c r="G16" s="308">
        <f>' gsis'!J22</f>
        <v>4920.72</v>
      </c>
      <c r="H16" s="316">
        <f>' gsis'!K22</f>
        <v>100</v>
      </c>
      <c r="I16" s="367"/>
      <c r="J16" s="306"/>
      <c r="K16" s="334">
        <f>' gsis'!N22</f>
        <v>0</v>
      </c>
      <c r="L16" s="367">
        <f>' gsis'!R22</f>
        <v>6109.05</v>
      </c>
      <c r="M16" s="367">
        <f>' gsis'!S22</f>
        <v>1866.67</v>
      </c>
      <c r="N16" s="367"/>
      <c r="O16" s="367">
        <f>' gsis'!P22</f>
        <v>1966.67</v>
      </c>
      <c r="P16" s="367"/>
      <c r="Q16" s="404">
        <f>'PAG-IBIG'!H20</f>
        <v>200</v>
      </c>
      <c r="R16" s="402">
        <f>'PAG-IBIG'!I20</f>
        <v>200</v>
      </c>
      <c r="S16" s="403"/>
      <c r="T16" s="367"/>
      <c r="U16" s="367"/>
      <c r="V16" s="396">
        <f>'PHIC (1)'!W20</f>
        <v>1025.1500000000001</v>
      </c>
      <c r="W16" s="334">
        <f>'PHIC (1)'!X20</f>
        <v>1025.1500000000001</v>
      </c>
      <c r="X16" s="425">
        <f>WTAX!H20</f>
        <v>3307.28</v>
      </c>
      <c r="Y16" s="433"/>
      <c r="Z16" s="432">
        <f>LBP!H17</f>
        <v>16413.23</v>
      </c>
      <c r="AA16" s="429"/>
      <c r="AB16" s="457">
        <f>CNGWMPC!S21</f>
        <v>707.41000000000008</v>
      </c>
      <c r="AC16" s="308">
        <v>2000</v>
      </c>
      <c r="AD16" s="334"/>
      <c r="AE16" s="432"/>
      <c r="AF16" s="467">
        <f t="shared" si="0"/>
        <v>7720</v>
      </c>
      <c r="AG16" s="479">
        <v>7</v>
      </c>
    </row>
    <row r="17" spans="1:100" ht="30" customHeight="1">
      <c r="A17" s="304">
        <v>8</v>
      </c>
      <c r="B17" s="305" t="s">
        <v>181</v>
      </c>
      <c r="C17" s="319" t="s">
        <v>182</v>
      </c>
      <c r="D17" s="320" t="s">
        <v>183</v>
      </c>
      <c r="E17" s="307">
        <f>' gsis'!H23</f>
        <v>17209</v>
      </c>
      <c r="F17" s="308">
        <f>' gsis'!I23</f>
        <v>1548.81</v>
      </c>
      <c r="G17" s="308">
        <f>' gsis'!J23</f>
        <v>2065.08</v>
      </c>
      <c r="H17" s="323">
        <f>' gsis'!K23</f>
        <v>100</v>
      </c>
      <c r="I17" s="367"/>
      <c r="J17" s="306"/>
      <c r="K17" s="334">
        <f>' gsis'!N23</f>
        <v>0</v>
      </c>
      <c r="L17" s="367">
        <f>' gsis'!R23</f>
        <v>2236.7600000000002</v>
      </c>
      <c r="M17" s="367"/>
      <c r="N17" s="367">
        <f>' gsis'!Q23</f>
        <v>5603.77</v>
      </c>
      <c r="O17" s="367">
        <f>' gsis'!P23</f>
        <v>1966.67</v>
      </c>
      <c r="P17" s="367"/>
      <c r="Q17" s="404">
        <f>'PAG-IBIG'!H21</f>
        <v>400</v>
      </c>
      <c r="R17" s="402">
        <f>'PAG-IBIG'!I21</f>
        <v>200</v>
      </c>
      <c r="S17" s="403"/>
      <c r="T17" s="367"/>
      <c r="U17" s="367"/>
      <c r="V17" s="396">
        <f>'PHIC (1)'!W21</f>
        <v>430.22</v>
      </c>
      <c r="W17" s="334">
        <f>'PHIC (1)'!X21</f>
        <v>430.23</v>
      </c>
      <c r="X17" s="425"/>
      <c r="Y17" s="434"/>
      <c r="Z17" s="432"/>
      <c r="AA17" s="429"/>
      <c r="AB17" s="457">
        <f>CNGWMPC!S22</f>
        <v>702.77</v>
      </c>
      <c r="AC17" s="308">
        <v>2000</v>
      </c>
      <c r="AD17" s="334"/>
      <c r="AE17" s="432"/>
      <c r="AF17" s="467">
        <f t="shared" si="0"/>
        <v>6320</v>
      </c>
      <c r="AG17" s="479">
        <v>8</v>
      </c>
    </row>
    <row r="18" spans="1:100" s="275" customFormat="1" ht="30" customHeight="1" outlineLevel="2">
      <c r="A18" s="304">
        <v>9</v>
      </c>
      <c r="B18" s="305" t="s">
        <v>184</v>
      </c>
      <c r="C18" s="313" t="s">
        <v>185</v>
      </c>
      <c r="D18" s="321" t="s">
        <v>186</v>
      </c>
      <c r="E18" s="307">
        <f>' gsis'!H24</f>
        <v>18133</v>
      </c>
      <c r="F18" s="308">
        <f>' gsis'!I24</f>
        <v>1631.97</v>
      </c>
      <c r="G18" s="308">
        <f>' gsis'!J24</f>
        <v>2175.96</v>
      </c>
      <c r="H18" s="323">
        <f>' gsis'!K24</f>
        <v>100</v>
      </c>
      <c r="I18" s="367"/>
      <c r="J18" s="306"/>
      <c r="K18" s="334"/>
      <c r="L18" s="367">
        <f>' gsis'!R24</f>
        <v>2848.19</v>
      </c>
      <c r="M18" s="367"/>
      <c r="N18" s="367"/>
      <c r="O18" s="367"/>
      <c r="P18" s="367"/>
      <c r="Q18" s="392">
        <f>'PAG-IBIG'!H22</f>
        <v>200</v>
      </c>
      <c r="R18" s="405">
        <f>'PAG-IBIG'!I22</f>
        <v>200</v>
      </c>
      <c r="S18" s="334"/>
      <c r="T18" s="367"/>
      <c r="U18" s="367"/>
      <c r="V18" s="396">
        <f>'PHIC (1)'!W22</f>
        <v>453.32</v>
      </c>
      <c r="W18" s="334">
        <f>'PHIC (1)'!X22</f>
        <v>453.33</v>
      </c>
      <c r="X18" s="334"/>
      <c r="Y18" s="435"/>
      <c r="Z18" s="430"/>
      <c r="AA18" s="429"/>
      <c r="AB18" s="457">
        <f>CNGWMPC!S23</f>
        <v>6153.52</v>
      </c>
      <c r="AC18" s="308">
        <v>2000</v>
      </c>
      <c r="AD18" s="334"/>
      <c r="AE18" s="430"/>
      <c r="AF18" s="467">
        <f t="shared" si="0"/>
        <v>8845.9999999999982</v>
      </c>
      <c r="AG18" s="479">
        <v>9</v>
      </c>
      <c r="AH18" s="42"/>
      <c r="AI18" s="42"/>
      <c r="AJ18" s="42"/>
      <c r="AK18" s="42"/>
      <c r="AL18" s="42"/>
      <c r="AM18" s="42"/>
      <c r="AN18" s="42"/>
      <c r="AO18" s="42"/>
      <c r="AP18" s="42"/>
      <c r="AQ18" s="42"/>
      <c r="AR18" s="42"/>
      <c r="AS18" s="42"/>
      <c r="AT18" s="42"/>
      <c r="AU18" s="42"/>
      <c r="AV18" s="42"/>
    </row>
    <row r="19" spans="1:100" s="275" customFormat="1" ht="30" customHeight="1" outlineLevel="2">
      <c r="A19" s="304">
        <v>10</v>
      </c>
      <c r="B19" s="305" t="s">
        <v>187</v>
      </c>
      <c r="C19" s="315" t="s">
        <v>188</v>
      </c>
      <c r="D19" s="322" t="s">
        <v>189</v>
      </c>
      <c r="E19" s="307">
        <f>' gsis'!H25</f>
        <v>16088</v>
      </c>
      <c r="F19" s="308">
        <f>' gsis'!I25</f>
        <v>1447.9199999999998</v>
      </c>
      <c r="G19" s="308">
        <f>' gsis'!J25</f>
        <v>1930.56</v>
      </c>
      <c r="H19" s="323">
        <f>' gsis'!K25</f>
        <v>100</v>
      </c>
      <c r="I19" s="367"/>
      <c r="J19" s="306"/>
      <c r="K19" s="334">
        <f>' gsis'!N25</f>
        <v>655.56</v>
      </c>
      <c r="L19" s="367">
        <f>' gsis'!R25</f>
        <v>2074.66</v>
      </c>
      <c r="M19" s="367"/>
      <c r="N19" s="367"/>
      <c r="O19" s="367">
        <f>' gsis'!P25</f>
        <v>1966.67</v>
      </c>
      <c r="P19" s="367">
        <f>' gsis'!M25</f>
        <v>100</v>
      </c>
      <c r="Q19" s="397">
        <f>'PAG-IBIG'!H23</f>
        <v>200</v>
      </c>
      <c r="R19" s="395">
        <f>'PAG-IBIG'!I23</f>
        <v>200</v>
      </c>
      <c r="S19" s="308">
        <f>'PAG-IBIG'!J23</f>
        <v>0</v>
      </c>
      <c r="T19" s="367">
        <f>'PAG-IBIG'!K23</f>
        <v>0</v>
      </c>
      <c r="U19" s="367"/>
      <c r="V19" s="396">
        <f>'PHIC (1)'!W23</f>
        <v>402.2</v>
      </c>
      <c r="W19" s="334">
        <f>'PHIC (1)'!X23</f>
        <v>402.2</v>
      </c>
      <c r="X19" s="334"/>
      <c r="Y19" s="433">
        <f>DBP!G21</f>
        <v>5266.77</v>
      </c>
      <c r="Z19" s="405"/>
      <c r="AA19" s="429"/>
      <c r="AB19" s="457">
        <f>CNGWMPC!S24</f>
        <v>804.22</v>
      </c>
      <c r="AC19" s="308">
        <v>2000</v>
      </c>
      <c r="AD19" s="334"/>
      <c r="AE19" s="426"/>
      <c r="AF19" s="467">
        <f t="shared" si="0"/>
        <v>5169.9999999999991</v>
      </c>
      <c r="AG19" s="479">
        <v>10</v>
      </c>
      <c r="AH19" s="42"/>
      <c r="AI19" s="42"/>
      <c r="AJ19" s="42"/>
      <c r="AK19" s="42"/>
      <c r="AL19" s="42"/>
      <c r="AM19" s="42"/>
      <c r="AN19" s="42"/>
      <c r="AO19" s="42"/>
      <c r="AP19" s="42"/>
      <c r="AQ19" s="42"/>
      <c r="AR19" s="42"/>
      <c r="AS19" s="42"/>
      <c r="AT19" s="42"/>
      <c r="AU19" s="42"/>
      <c r="AV19" s="42"/>
    </row>
    <row r="20" spans="1:100" s="275" customFormat="1" ht="30" customHeight="1" outlineLevel="2">
      <c r="A20" s="304">
        <v>11</v>
      </c>
      <c r="B20" s="305" t="s">
        <v>190</v>
      </c>
      <c r="C20" s="312" t="s">
        <v>191</v>
      </c>
      <c r="D20" s="322" t="s">
        <v>192</v>
      </c>
      <c r="E20" s="307">
        <f>' gsis'!H26</f>
        <v>25996</v>
      </c>
      <c r="F20" s="308">
        <f>' gsis'!I26</f>
        <v>2339.64</v>
      </c>
      <c r="G20" s="308">
        <f>' gsis'!J26</f>
        <v>3119.52</v>
      </c>
      <c r="H20" s="323">
        <f>' gsis'!K26</f>
        <v>100</v>
      </c>
      <c r="I20" s="367"/>
      <c r="J20" s="306"/>
      <c r="K20" s="334"/>
      <c r="L20" s="367">
        <f>' gsis'!R26</f>
        <v>3467.78</v>
      </c>
      <c r="M20" s="367">
        <f>' gsis'!S26</f>
        <v>1816.67</v>
      </c>
      <c r="N20" s="367"/>
      <c r="O20" s="367"/>
      <c r="P20" s="367">
        <f>' gsis'!M26</f>
        <v>200</v>
      </c>
      <c r="Q20" s="397">
        <f>'PAG-IBIG'!H24</f>
        <v>200</v>
      </c>
      <c r="R20" s="395">
        <f>'PAG-IBIG'!I24</f>
        <v>200</v>
      </c>
      <c r="S20" s="308"/>
      <c r="T20" s="367"/>
      <c r="U20" s="367"/>
      <c r="V20" s="396">
        <f>'PHIC (1)'!W24</f>
        <v>649.9</v>
      </c>
      <c r="W20" s="334">
        <f>'PHIC (1)'!X24</f>
        <v>649.9</v>
      </c>
      <c r="X20" s="334">
        <f>WTAX!H21</f>
        <v>537</v>
      </c>
      <c r="Y20" s="436">
        <f>DBP!G23</f>
        <v>4356.07</v>
      </c>
      <c r="Z20" s="405">
        <f>LBP!H18</f>
        <v>3788.1</v>
      </c>
      <c r="AA20" s="429"/>
      <c r="AB20" s="457">
        <f>CNGWMPC!S25</f>
        <v>800.83999999999992</v>
      </c>
      <c r="AC20" s="308">
        <v>2000</v>
      </c>
      <c r="AD20" s="334"/>
      <c r="AE20" s="426"/>
      <c r="AF20" s="467">
        <f t="shared" si="0"/>
        <v>9840.0000000000018</v>
      </c>
      <c r="AG20" s="479">
        <v>11</v>
      </c>
      <c r="AH20" s="42"/>
      <c r="AI20" s="42"/>
      <c r="AJ20" s="42"/>
      <c r="AK20" s="42"/>
      <c r="AL20" s="42"/>
      <c r="AM20" s="42"/>
      <c r="AN20" s="42"/>
      <c r="AO20" s="42"/>
      <c r="AP20" s="42"/>
      <c r="AQ20" s="42"/>
      <c r="AR20" s="42"/>
      <c r="AS20" s="42"/>
      <c r="AT20" s="42"/>
      <c r="AU20" s="42"/>
      <c r="AV20" s="42"/>
    </row>
    <row r="21" spans="1:100" s="275" customFormat="1" ht="30" customHeight="1" outlineLevel="2">
      <c r="A21" s="304">
        <v>12</v>
      </c>
      <c r="B21" s="305" t="s">
        <v>193</v>
      </c>
      <c r="C21" s="324" t="s">
        <v>194</v>
      </c>
      <c r="D21" s="321" t="s">
        <v>195</v>
      </c>
      <c r="E21" s="307">
        <f>' gsis'!H27</f>
        <v>20408</v>
      </c>
      <c r="F21" s="308">
        <f>' gsis'!I27</f>
        <v>1836.72</v>
      </c>
      <c r="G21" s="308">
        <f>' gsis'!J27</f>
        <v>2448.96</v>
      </c>
      <c r="H21" s="323">
        <f>' gsis'!K27</f>
        <v>100</v>
      </c>
      <c r="I21" s="367"/>
      <c r="J21" s="306"/>
      <c r="K21" s="334">
        <f>' gsis'!N27</f>
        <v>655.56</v>
      </c>
      <c r="L21" s="367">
        <f>' gsis'!R27</f>
        <v>2631.62</v>
      </c>
      <c r="M21" s="367"/>
      <c r="N21" s="367"/>
      <c r="O21" s="367">
        <f>' gsis'!P27</f>
        <v>1966.67</v>
      </c>
      <c r="P21" s="367">
        <f>' gsis'!M27</f>
        <v>200</v>
      </c>
      <c r="Q21" s="397">
        <f>'PAG-IBIG'!H25</f>
        <v>200</v>
      </c>
      <c r="R21" s="395">
        <f>'PAG-IBIG'!I25</f>
        <v>200</v>
      </c>
      <c r="S21" s="308">
        <f>'PAG-IBIG'!J25</f>
        <v>0</v>
      </c>
      <c r="T21" s="367">
        <f>'PAG-IBIG'!K25</f>
        <v>970.5</v>
      </c>
      <c r="U21" s="367"/>
      <c r="V21" s="396">
        <f>'PHIC (1)'!W25</f>
        <v>510.2</v>
      </c>
      <c r="W21" s="334">
        <f>'PHIC (1)'!X25</f>
        <v>510.2</v>
      </c>
      <c r="X21" s="308"/>
      <c r="Y21" s="436">
        <f>DBP!G22</f>
        <v>6583.46</v>
      </c>
      <c r="Z21" s="405"/>
      <c r="AA21" s="429"/>
      <c r="AB21" s="457">
        <f>CNGWMPC!S26</f>
        <v>1383.27</v>
      </c>
      <c r="AC21" s="308">
        <v>2000</v>
      </c>
      <c r="AD21" s="334"/>
      <c r="AE21" s="426"/>
      <c r="AF21" s="467">
        <f t="shared" si="0"/>
        <v>5469.9999999999982</v>
      </c>
      <c r="AG21" s="479">
        <v>12</v>
      </c>
      <c r="AH21" s="42"/>
      <c r="AI21" s="42"/>
      <c r="AJ21" s="42"/>
      <c r="AK21" s="42"/>
      <c r="AL21" s="42"/>
      <c r="AM21" s="42"/>
      <c r="AN21" s="42"/>
      <c r="AO21" s="42"/>
      <c r="AP21" s="42"/>
      <c r="AQ21" s="42"/>
      <c r="AR21" s="42"/>
      <c r="AS21" s="42"/>
      <c r="AT21" s="42"/>
      <c r="AU21" s="42"/>
      <c r="AV21" s="42"/>
    </row>
    <row r="22" spans="1:100" s="275" customFormat="1" ht="30" customHeight="1" outlineLevel="2">
      <c r="A22" s="966">
        <v>13</v>
      </c>
      <c r="B22" s="305" t="s">
        <v>691</v>
      </c>
      <c r="C22" s="920" t="s">
        <v>692</v>
      </c>
      <c r="D22" s="930" t="s">
        <v>209</v>
      </c>
      <c r="E22" s="921">
        <f>' gsis'!H28</f>
        <v>52367</v>
      </c>
      <c r="F22" s="922">
        <f>' gsis'!I28</f>
        <v>4713.03</v>
      </c>
      <c r="G22" s="308">
        <f>' gsis'!J28</f>
        <v>6284.04</v>
      </c>
      <c r="H22" s="656">
        <f>' gsis'!K28</f>
        <v>100</v>
      </c>
      <c r="I22" s="714">
        <f>' gsis'!O28</f>
        <v>1533.5</v>
      </c>
      <c r="J22" s="718"/>
      <c r="K22" s="708">
        <f>' gsis'!N28</f>
        <v>1138.73</v>
      </c>
      <c r="L22" s="714">
        <f>' gsis'!R28</f>
        <v>7801.77</v>
      </c>
      <c r="M22" s="714">
        <f>' gsis'!S28</f>
        <v>2333.33</v>
      </c>
      <c r="N22" s="714">
        <f>' gsis'!Q28</f>
        <v>9634.44</v>
      </c>
      <c r="O22" s="714"/>
      <c r="P22" s="714"/>
      <c r="Q22" s="923">
        <f>'PAG-IBIG'!H26</f>
        <v>200</v>
      </c>
      <c r="R22" s="395">
        <f>'PAG-IBIG'!I26</f>
        <v>200</v>
      </c>
      <c r="S22" s="922"/>
      <c r="T22" s="714"/>
      <c r="U22" s="714"/>
      <c r="V22" s="924">
        <f>'PHIC (1)'!W26</f>
        <v>1309.17</v>
      </c>
      <c r="W22" s="708">
        <f>'PHIC (1)'!X26</f>
        <v>1309.18</v>
      </c>
      <c r="X22" s="922">
        <f>WTAX!H22</f>
        <v>5746.98</v>
      </c>
      <c r="Y22" s="925">
        <f>DBP!G25</f>
        <v>6263.95</v>
      </c>
      <c r="Z22" s="926"/>
      <c r="AA22" s="927"/>
      <c r="AB22" s="928">
        <f>CNGWMPC!S27</f>
        <v>902.1</v>
      </c>
      <c r="AC22" s="922">
        <v>2000</v>
      </c>
      <c r="AD22" s="708"/>
      <c r="AE22" s="929"/>
      <c r="AF22" s="467">
        <f>E22-F22-I22-J22-K22-L22-M22-N22-O22-P22-Q22-S22-T22-V22-X22-Y22-Z22-AB22+AC22+AD22+AE22-U22</f>
        <v>12789.999999999998</v>
      </c>
      <c r="AG22" s="479">
        <v>13</v>
      </c>
      <c r="AH22" s="42"/>
      <c r="AI22" s="42"/>
      <c r="AJ22" s="42"/>
      <c r="AK22" s="42"/>
      <c r="AL22" s="42"/>
      <c r="AM22" s="42"/>
      <c r="AN22" s="42"/>
      <c r="AO22" s="42"/>
      <c r="AP22" s="42"/>
      <c r="AQ22" s="42"/>
      <c r="AR22" s="42"/>
      <c r="AS22" s="42"/>
      <c r="AT22" s="42"/>
      <c r="AU22" s="42"/>
      <c r="AV22" s="42"/>
    </row>
    <row r="23" spans="1:100" ht="30" customHeight="1" outlineLevel="2">
      <c r="A23" s="304">
        <v>14</v>
      </c>
      <c r="B23" s="305" t="s">
        <v>196</v>
      </c>
      <c r="C23" s="325" t="s">
        <v>197</v>
      </c>
      <c r="D23" s="321" t="s">
        <v>198</v>
      </c>
      <c r="E23" s="307">
        <f>' gsis'!H29</f>
        <v>43090</v>
      </c>
      <c r="F23" s="308">
        <f>' gsis'!I29</f>
        <v>3878.1</v>
      </c>
      <c r="G23" s="308">
        <f>' gsis'!J29</f>
        <v>5170.8</v>
      </c>
      <c r="H23" s="323">
        <f>' gsis'!K29</f>
        <v>100</v>
      </c>
      <c r="I23" s="367"/>
      <c r="J23" s="306"/>
      <c r="K23" s="334">
        <f>' gsis'!N29</f>
        <v>0</v>
      </c>
      <c r="L23" s="367">
        <f>' gsis'!R29</f>
        <v>6433.73</v>
      </c>
      <c r="M23" s="367"/>
      <c r="N23" s="367">
        <f>' gsis'!Q29</f>
        <v>9634.44</v>
      </c>
      <c r="O23" s="367"/>
      <c r="P23" s="367">
        <f>' gsis'!M29</f>
        <v>500</v>
      </c>
      <c r="Q23" s="392">
        <f>'PAG-IBIG'!H27</f>
        <v>200</v>
      </c>
      <c r="R23" s="395">
        <f>'PAG-IBIG'!I27</f>
        <v>200</v>
      </c>
      <c r="S23" s="334"/>
      <c r="T23" s="334"/>
      <c r="U23" s="334"/>
      <c r="V23" s="396">
        <f>'PHIC (1)'!W27</f>
        <v>1077.25</v>
      </c>
      <c r="W23" s="334">
        <f>'PHIC (1)'!X27</f>
        <v>1077.25</v>
      </c>
      <c r="X23" s="334">
        <f>WTAX!H23</f>
        <v>204.04</v>
      </c>
      <c r="Y23" s="334"/>
      <c r="Z23" s="334"/>
      <c r="AA23" s="429"/>
      <c r="AB23" s="457">
        <f>CNGWMPC!S28</f>
        <v>5692.44</v>
      </c>
      <c r="AC23" s="308">
        <v>2000</v>
      </c>
      <c r="AD23" s="334"/>
      <c r="AE23" s="430"/>
      <c r="AF23" s="467">
        <f t="shared" si="0"/>
        <v>17469.999999999996</v>
      </c>
      <c r="AG23" s="479">
        <v>14</v>
      </c>
    </row>
    <row r="24" spans="1:100" ht="30" customHeight="1" outlineLevel="2">
      <c r="A24" s="304">
        <v>15</v>
      </c>
      <c r="B24" s="305" t="s">
        <v>199</v>
      </c>
      <c r="C24" s="313" t="s">
        <v>200</v>
      </c>
      <c r="D24" s="321" t="s">
        <v>201</v>
      </c>
      <c r="E24" s="307">
        <f>' gsis'!H30</f>
        <v>51304</v>
      </c>
      <c r="F24" s="308">
        <f>' gsis'!I30</f>
        <v>4617.3599999999997</v>
      </c>
      <c r="G24" s="308">
        <f>' gsis'!J30</f>
        <v>6156.48</v>
      </c>
      <c r="H24" s="323">
        <f>' gsis'!K30</f>
        <v>100</v>
      </c>
      <c r="I24" s="367"/>
      <c r="J24" s="306"/>
      <c r="K24" s="334"/>
      <c r="L24" s="367"/>
      <c r="M24" s="367"/>
      <c r="N24" s="367">
        <f>' gsis'!Q30</f>
        <v>9634.44</v>
      </c>
      <c r="O24" s="367"/>
      <c r="P24" s="367">
        <f>' gsis'!M30</f>
        <v>100</v>
      </c>
      <c r="Q24" s="392">
        <f>'PAG-IBIG'!H28</f>
        <v>200</v>
      </c>
      <c r="R24" s="395">
        <f>'PAG-IBIG'!I28</f>
        <v>200</v>
      </c>
      <c r="S24" s="334"/>
      <c r="T24" s="334"/>
      <c r="U24" s="334"/>
      <c r="V24" s="406">
        <f>'PHIC (1)'!W28</f>
        <v>1282.5999999999999</v>
      </c>
      <c r="W24" s="334">
        <f>'PHIC (1)'!X28</f>
        <v>1282.5999999999999</v>
      </c>
      <c r="X24" s="334">
        <f>WTAX!H24</f>
        <v>5518.71</v>
      </c>
      <c r="Y24" s="367"/>
      <c r="Z24" s="430"/>
      <c r="AA24" s="429"/>
      <c r="AB24" s="457">
        <f>CNGWMPC!S29</f>
        <v>800.89</v>
      </c>
      <c r="AC24" s="308">
        <v>2000</v>
      </c>
      <c r="AD24" s="334"/>
      <c r="AE24" s="430"/>
      <c r="AF24" s="467">
        <f t="shared" si="0"/>
        <v>31150</v>
      </c>
      <c r="AG24" s="479">
        <v>15</v>
      </c>
    </row>
    <row r="25" spans="1:100" ht="30" customHeight="1" outlineLevel="2">
      <c r="A25" s="304">
        <v>16</v>
      </c>
      <c r="B25" s="305" t="s">
        <v>202</v>
      </c>
      <c r="C25" s="326" t="s">
        <v>203</v>
      </c>
      <c r="D25" s="327" t="s">
        <v>646</v>
      </c>
      <c r="E25" s="307">
        <f>' gsis'!H31</f>
        <v>37024</v>
      </c>
      <c r="F25" s="308">
        <f>' gsis'!I31</f>
        <v>3332.16</v>
      </c>
      <c r="G25" s="308">
        <f>' gsis'!J31</f>
        <v>4442.88</v>
      </c>
      <c r="H25" s="323">
        <f>' gsis'!K31</f>
        <v>100</v>
      </c>
      <c r="I25" s="367"/>
      <c r="J25" s="306"/>
      <c r="K25" s="334"/>
      <c r="L25" s="367"/>
      <c r="M25" s="367"/>
      <c r="N25" s="367"/>
      <c r="O25" s="367">
        <f>' gsis'!P31</f>
        <v>1966.67</v>
      </c>
      <c r="P25" s="367"/>
      <c r="Q25" s="392">
        <f>'PAG-IBIG'!H29</f>
        <v>200</v>
      </c>
      <c r="R25" s="395">
        <f>'PAG-IBIG'!I29</f>
        <v>200</v>
      </c>
      <c r="S25" s="334"/>
      <c r="T25" s="334"/>
      <c r="U25" s="334"/>
      <c r="V25" s="406">
        <f>'PHIC (1)'!W29</f>
        <v>925.6</v>
      </c>
      <c r="W25" s="334">
        <f>'PHIC (1)'!X29</f>
        <v>925.6</v>
      </c>
      <c r="X25" s="334">
        <f>WTAX!H25</f>
        <v>2302.9299999999998</v>
      </c>
      <c r="Y25" s="366"/>
      <c r="Z25" s="430"/>
      <c r="AA25" s="429"/>
      <c r="AB25" s="458">
        <f>CNGWMPC!S30</f>
        <v>10646.64</v>
      </c>
      <c r="AC25" s="308">
        <v>2000</v>
      </c>
      <c r="AD25" s="334"/>
      <c r="AE25" s="430"/>
      <c r="AF25" s="467">
        <f t="shared" si="0"/>
        <v>19650</v>
      </c>
      <c r="AG25" s="479">
        <v>16</v>
      </c>
    </row>
    <row r="26" spans="1:100" ht="30" customHeight="1" outlineLevel="2">
      <c r="A26" s="304">
        <v>17</v>
      </c>
      <c r="B26" s="305" t="s">
        <v>204</v>
      </c>
      <c r="C26" s="324" t="s">
        <v>205</v>
      </c>
      <c r="D26" s="321" t="s">
        <v>192</v>
      </c>
      <c r="E26" s="307">
        <f>' gsis'!H32</f>
        <v>25996</v>
      </c>
      <c r="F26" s="308">
        <f>' gsis'!I32</f>
        <v>2339.64</v>
      </c>
      <c r="G26" s="308">
        <f>' gsis'!J32</f>
        <v>3119.52</v>
      </c>
      <c r="H26" s="323">
        <f>' gsis'!K32</f>
        <v>100</v>
      </c>
      <c r="I26" s="367"/>
      <c r="J26" s="334"/>
      <c r="K26" s="334"/>
      <c r="L26" s="367"/>
      <c r="M26" s="367"/>
      <c r="N26" s="367"/>
      <c r="O26" s="367"/>
      <c r="P26" s="367"/>
      <c r="Q26" s="392">
        <f>'PAG-IBIG'!H30</f>
        <v>200</v>
      </c>
      <c r="R26" s="395">
        <f>'PAG-IBIG'!I30</f>
        <v>200</v>
      </c>
      <c r="S26" s="334"/>
      <c r="T26" s="334"/>
      <c r="U26" s="334"/>
      <c r="V26" s="406">
        <f>'PHIC (1)'!W30</f>
        <v>649.9</v>
      </c>
      <c r="W26" s="334">
        <f>'PHIC (1)'!X30</f>
        <v>649.9</v>
      </c>
      <c r="X26" s="334">
        <f>WTAX!H26</f>
        <v>537</v>
      </c>
      <c r="Y26" s="366"/>
      <c r="Z26" s="430"/>
      <c r="AA26" s="429"/>
      <c r="AB26" s="429">
        <f>CNGWMPC!S31</f>
        <v>1799.46</v>
      </c>
      <c r="AC26" s="308">
        <v>2000</v>
      </c>
      <c r="AD26" s="334"/>
      <c r="AE26" s="430"/>
      <c r="AF26" s="467">
        <f t="shared" si="0"/>
        <v>22470</v>
      </c>
      <c r="AG26" s="479">
        <v>17</v>
      </c>
    </row>
    <row r="27" spans="1:100" ht="30" customHeight="1" outlineLevel="2">
      <c r="A27" s="304">
        <v>18</v>
      </c>
      <c r="B27" s="305" t="s">
        <v>207</v>
      </c>
      <c r="C27" s="328" t="s">
        <v>208</v>
      </c>
      <c r="D27" s="329" t="s">
        <v>209</v>
      </c>
      <c r="E27" s="307">
        <f>' gsis'!H33</f>
        <v>52367</v>
      </c>
      <c r="F27" s="308">
        <f>' gsis'!I33</f>
        <v>4713.03</v>
      </c>
      <c r="G27" s="308">
        <f>' gsis'!J33</f>
        <v>6284.04</v>
      </c>
      <c r="H27" s="323">
        <f>' gsis'!K33</f>
        <v>100</v>
      </c>
      <c r="I27" s="367"/>
      <c r="J27" s="334"/>
      <c r="K27" s="370"/>
      <c r="L27" s="371"/>
      <c r="M27" s="371"/>
      <c r="N27" s="371"/>
      <c r="O27" s="371"/>
      <c r="P27" s="367"/>
      <c r="Q27" s="407">
        <f>'PAG-IBIG'!H50</f>
        <v>200</v>
      </c>
      <c r="R27" s="402">
        <f>'PAG-IBIG'!I50</f>
        <v>200</v>
      </c>
      <c r="S27" s="334"/>
      <c r="T27" s="334"/>
      <c r="U27" s="334"/>
      <c r="V27" s="406">
        <f>'PHIC (1)'!W31</f>
        <v>1309.17</v>
      </c>
      <c r="W27" s="334">
        <f>'PHIC (1)'!X31</f>
        <v>1309.18</v>
      </c>
      <c r="X27" s="370"/>
      <c r="Y27" s="437"/>
      <c r="Z27" s="438"/>
      <c r="AA27" s="429"/>
      <c r="AB27" s="459">
        <f>CNGWMPC!S32</f>
        <v>17734.8</v>
      </c>
      <c r="AC27" s="308">
        <v>2000</v>
      </c>
      <c r="AD27" s="334"/>
      <c r="AE27" s="437"/>
      <c r="AF27" s="467">
        <f t="shared" si="0"/>
        <v>30410.000000000004</v>
      </c>
      <c r="AG27" s="479">
        <v>18</v>
      </c>
    </row>
    <row r="28" spans="1:100" s="276" customFormat="1" ht="30" customHeight="1" outlineLevel="2">
      <c r="A28" s="304">
        <v>19</v>
      </c>
      <c r="B28" s="305" t="s">
        <v>210</v>
      </c>
      <c r="C28" s="324" t="s">
        <v>211</v>
      </c>
      <c r="D28" s="329" t="s">
        <v>212</v>
      </c>
      <c r="E28" s="307">
        <f>' gsis'!H34</f>
        <v>41413</v>
      </c>
      <c r="F28" s="308">
        <f>' gsis'!I34</f>
        <v>3727.17</v>
      </c>
      <c r="G28" s="308">
        <f>' gsis'!J34</f>
        <v>4969.5599999999995</v>
      </c>
      <c r="H28" s="309">
        <f>' gsis'!K34</f>
        <v>100</v>
      </c>
      <c r="I28" s="334"/>
      <c r="J28" s="334"/>
      <c r="K28" s="334">
        <f>' gsis'!N34</f>
        <v>0</v>
      </c>
      <c r="L28" s="367">
        <f>' gsis'!R34</f>
        <v>4408.8999999999996</v>
      </c>
      <c r="M28" s="367">
        <f>' gsis'!S34</f>
        <v>2333.33</v>
      </c>
      <c r="N28" s="367">
        <f>' gsis'!Q34</f>
        <v>9634.44</v>
      </c>
      <c r="O28" s="367"/>
      <c r="P28" s="367"/>
      <c r="Q28" s="392">
        <f>'PAG-IBIG'!H51</f>
        <v>200</v>
      </c>
      <c r="R28" s="367">
        <f>'PAG-IBIG'!I51</f>
        <v>200</v>
      </c>
      <c r="S28" s="334"/>
      <c r="T28" s="334"/>
      <c r="U28" s="334"/>
      <c r="V28" s="406">
        <f>'PHIC (1)'!W32</f>
        <v>1035.32</v>
      </c>
      <c r="W28" s="334">
        <f>'PHIC (1)'!X32</f>
        <v>1035.33</v>
      </c>
      <c r="X28" s="334">
        <f>WTAX!H27</f>
        <v>3394.69</v>
      </c>
      <c r="Y28" s="367"/>
      <c r="Z28" s="334"/>
      <c r="AA28" s="429"/>
      <c r="AB28" s="429">
        <f>CNGWMPC!S33</f>
        <v>8839.15</v>
      </c>
      <c r="AC28" s="308">
        <v>2000</v>
      </c>
      <c r="AD28" s="334"/>
      <c r="AE28" s="367"/>
      <c r="AF28" s="467">
        <f t="shared" si="0"/>
        <v>9839.9999999999982</v>
      </c>
      <c r="AG28" s="479">
        <v>19</v>
      </c>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row>
    <row r="29" spans="1:100" s="276" customFormat="1" ht="30" customHeight="1">
      <c r="A29" s="304">
        <v>20</v>
      </c>
      <c r="B29" s="305" t="s">
        <v>213</v>
      </c>
      <c r="C29" s="330" t="s">
        <v>214</v>
      </c>
      <c r="D29" s="329" t="s">
        <v>212</v>
      </c>
      <c r="E29" s="307">
        <f>' gsis'!H35</f>
        <v>42241</v>
      </c>
      <c r="F29" s="308">
        <f>' gsis'!I35</f>
        <v>3801.69</v>
      </c>
      <c r="G29" s="308">
        <f>' gsis'!J35</f>
        <v>5068.92</v>
      </c>
      <c r="H29" s="309">
        <f>' gsis'!K35</f>
        <v>100</v>
      </c>
      <c r="J29" s="372"/>
      <c r="K29" s="373"/>
      <c r="L29" s="374">
        <f>' gsis'!R35</f>
        <v>7823.43</v>
      </c>
      <c r="M29" s="374"/>
      <c r="N29" s="374">
        <f>' gsis'!Q35</f>
        <v>9634.44</v>
      </c>
      <c r="O29" s="375"/>
      <c r="P29" s="408"/>
      <c r="Q29" s="392">
        <f>'PAG-IBIG'!H52</f>
        <v>200</v>
      </c>
      <c r="R29" s="367">
        <f>'PAG-IBIG'!I52</f>
        <v>200</v>
      </c>
      <c r="S29" s="372"/>
      <c r="T29" s="409"/>
      <c r="U29" s="409"/>
      <c r="V29" s="406">
        <f>'PHIC (1)'!W33</f>
        <v>1056.02</v>
      </c>
      <c r="W29" s="334">
        <f>'PHIC (1)'!X33</f>
        <v>1056.03</v>
      </c>
      <c r="X29" s="433">
        <f>WTAX!H28</f>
        <v>3572.44</v>
      </c>
      <c r="Y29" s="439"/>
      <c r="AA29" s="440"/>
      <c r="AB29" s="429">
        <f>CNGWMPC!S34</f>
        <v>702.98</v>
      </c>
      <c r="AC29" s="308">
        <v>2000</v>
      </c>
      <c r="AD29" s="334"/>
      <c r="AE29" s="367"/>
      <c r="AF29" s="467">
        <f t="shared" si="0"/>
        <v>17449.999999999993</v>
      </c>
      <c r="AG29" s="479">
        <v>20</v>
      </c>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row>
    <row r="30" spans="1:100" s="276" customFormat="1" ht="30" customHeight="1">
      <c r="A30" s="304">
        <v>21</v>
      </c>
      <c r="B30" s="305" t="s">
        <v>215</v>
      </c>
      <c r="C30" s="314" t="s">
        <v>216</v>
      </c>
      <c r="D30" s="321" t="s">
        <v>198</v>
      </c>
      <c r="E30" s="307">
        <f>' gsis'!H36</f>
        <v>41006</v>
      </c>
      <c r="F30" s="308">
        <f>' gsis'!I36</f>
        <v>3690.54</v>
      </c>
      <c r="G30" s="308">
        <f>' gsis'!J36</f>
        <v>4920.72</v>
      </c>
      <c r="H30" s="309">
        <f>' gsis'!K36</f>
        <v>100</v>
      </c>
      <c r="I30" s="376"/>
      <c r="J30" s="372"/>
      <c r="K30" s="372">
        <f>' gsis'!N36</f>
        <v>972.28</v>
      </c>
      <c r="L30" s="377">
        <f>' gsis'!R36</f>
        <v>4846.0200000000004</v>
      </c>
      <c r="M30" s="377">
        <f>' gsis'!S36</f>
        <v>2333.33</v>
      </c>
      <c r="N30" s="377">
        <f>' gsis'!Q36</f>
        <v>9634.44</v>
      </c>
      <c r="O30" s="377">
        <f>' gsis'!P36</f>
        <v>1966.67</v>
      </c>
      <c r="P30" s="410">
        <f>' gsis'!M36</f>
        <v>400</v>
      </c>
      <c r="Q30" s="392">
        <f>'PAG-IBIG'!H53</f>
        <v>200</v>
      </c>
      <c r="R30" s="334">
        <f>'PAG-IBIG'!I53</f>
        <v>200</v>
      </c>
      <c r="S30" s="411"/>
      <c r="T30" s="411"/>
      <c r="U30" s="411"/>
      <c r="V30" s="406">
        <f>'PHIC (1)'!W34</f>
        <v>1025.1500000000001</v>
      </c>
      <c r="W30" s="334">
        <f>'PHIC (1)'!X34</f>
        <v>1025.1500000000001</v>
      </c>
      <c r="X30" s="433">
        <f>WTAX!H29</f>
        <v>3307.28</v>
      </c>
      <c r="Y30" s="377">
        <f>DBP!G24</f>
        <v>5293.1</v>
      </c>
      <c r="AA30" s="441"/>
      <c r="AB30" s="433">
        <f>CNGWMPC!S83</f>
        <v>1537.19</v>
      </c>
      <c r="AC30" s="308">
        <v>2000</v>
      </c>
      <c r="AD30" s="334"/>
      <c r="AE30" s="367"/>
      <c r="AF30" s="467">
        <f t="shared" si="0"/>
        <v>7800</v>
      </c>
      <c r="AG30" s="479">
        <v>21</v>
      </c>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row>
    <row r="31" spans="1:100" ht="30" customHeight="1">
      <c r="A31" s="304">
        <v>22</v>
      </c>
      <c r="B31" s="305" t="s">
        <v>217</v>
      </c>
      <c r="C31" s="317" t="s">
        <v>218</v>
      </c>
      <c r="D31" s="321" t="s">
        <v>212</v>
      </c>
      <c r="E31" s="307">
        <f>' gsis'!H37</f>
        <v>41006</v>
      </c>
      <c r="F31" s="308">
        <f>' gsis'!I37</f>
        <v>3690.54</v>
      </c>
      <c r="G31" s="308">
        <f>' gsis'!J37</f>
        <v>4920.72</v>
      </c>
      <c r="H31" s="309">
        <f>' gsis'!K37</f>
        <v>100</v>
      </c>
      <c r="I31" s="322"/>
      <c r="J31" s="311"/>
      <c r="K31" s="368">
        <f>' gsis'!N37</f>
        <v>0</v>
      </c>
      <c r="L31" s="368">
        <f>' gsis'!R37</f>
        <v>4363.6099999999997</v>
      </c>
      <c r="M31" s="368">
        <f>' gsis'!S37</f>
        <v>2333.33</v>
      </c>
      <c r="N31" s="368"/>
      <c r="O31" s="368">
        <f>' gsis'!P37</f>
        <v>0</v>
      </c>
      <c r="P31" s="308">
        <f>' gsis'!M37</f>
        <v>300</v>
      </c>
      <c r="Q31" s="334">
        <f>'PAG-IBIG'!H54</f>
        <v>200</v>
      </c>
      <c r="R31" s="393">
        <f>'PAG-IBIG'!I54</f>
        <v>200</v>
      </c>
      <c r="S31" s="394">
        <f>'PAG-IBIG'!J54</f>
        <v>7517.71</v>
      </c>
      <c r="T31" s="308"/>
      <c r="U31" s="308"/>
      <c r="V31" s="406">
        <f>'PHIC (1)'!W35</f>
        <v>1025.1500000000001</v>
      </c>
      <c r="W31" s="334">
        <f>'PHIC (1)'!X35</f>
        <v>1025.1500000000001</v>
      </c>
      <c r="X31" s="442">
        <f>WTAX!H30</f>
        <v>3307.28</v>
      </c>
      <c r="Y31" s="333"/>
      <c r="Z31" s="372"/>
      <c r="AA31" s="429"/>
      <c r="AB31" s="457">
        <f>CNGWMPC!S84</f>
        <v>7542.38</v>
      </c>
      <c r="AC31" s="308">
        <v>2000</v>
      </c>
      <c r="AD31" s="308"/>
      <c r="AE31" s="426"/>
      <c r="AF31" s="467">
        <f t="shared" si="0"/>
        <v>12725.999999999996</v>
      </c>
      <c r="AG31" s="479">
        <v>22</v>
      </c>
    </row>
    <row r="32" spans="1:100" ht="30" customHeight="1">
      <c r="A32" s="304">
        <v>23</v>
      </c>
      <c r="B32" s="305" t="s">
        <v>219</v>
      </c>
      <c r="C32" s="331" t="s">
        <v>220</v>
      </c>
      <c r="D32" s="332" t="s">
        <v>212</v>
      </c>
      <c r="E32" s="307">
        <f>' gsis'!H38</f>
        <v>41006</v>
      </c>
      <c r="F32" s="308">
        <f>' gsis'!I38</f>
        <v>3690.54</v>
      </c>
      <c r="G32" s="308">
        <f>' gsis'!J38</f>
        <v>4920.72</v>
      </c>
      <c r="H32" s="316">
        <f>' gsis'!K38</f>
        <v>100</v>
      </c>
      <c r="I32" s="378"/>
      <c r="J32" s="311"/>
      <c r="K32" s="368"/>
      <c r="L32" s="368"/>
      <c r="M32" s="368"/>
      <c r="N32" s="368"/>
      <c r="O32" s="368"/>
      <c r="P32" s="308"/>
      <c r="Q32" s="308">
        <f>'PAG-IBIG'!H55</f>
        <v>200</v>
      </c>
      <c r="R32" s="412">
        <f>'PAG-IBIG'!I55</f>
        <v>200</v>
      </c>
      <c r="S32" s="366"/>
      <c r="T32" s="366"/>
      <c r="U32" s="366"/>
      <c r="V32" s="406">
        <f>'PHIC (1)'!W36</f>
        <v>1025.1500000000001</v>
      </c>
      <c r="W32" s="334">
        <f>'PHIC (1)'!X36</f>
        <v>1025.1500000000001</v>
      </c>
      <c r="X32" s="442">
        <f>WTAX!H31</f>
        <v>3307.28</v>
      </c>
      <c r="Y32" s="333"/>
      <c r="Z32" s="372"/>
      <c r="AA32" s="429"/>
      <c r="AB32" s="457">
        <f>CNGWMPC!S85</f>
        <v>7593.03</v>
      </c>
      <c r="AC32" s="308">
        <v>2000</v>
      </c>
      <c r="AD32" s="308"/>
      <c r="AE32" s="426"/>
      <c r="AF32" s="467">
        <f t="shared" si="0"/>
        <v>27190</v>
      </c>
      <c r="AG32" s="479">
        <v>23</v>
      </c>
    </row>
    <row r="33" spans="1:48" ht="30" customHeight="1">
      <c r="A33" s="304">
        <v>24</v>
      </c>
      <c r="B33" s="305" t="s">
        <v>221</v>
      </c>
      <c r="C33" s="324" t="s">
        <v>222</v>
      </c>
      <c r="D33" s="700" t="s">
        <v>212</v>
      </c>
      <c r="E33" s="699">
        <f>' gsis'!H39</f>
        <v>41006</v>
      </c>
      <c r="F33" s="308">
        <f>' gsis'!I39</f>
        <v>3690.54</v>
      </c>
      <c r="G33" s="308">
        <f>' gsis'!J39</f>
        <v>4920.72</v>
      </c>
      <c r="H33" s="656">
        <f>' gsis'!K39</f>
        <v>100</v>
      </c>
      <c r="I33" s="378"/>
      <c r="J33" s="311"/>
      <c r="K33" s="368">
        <f>' gsis'!N39</f>
        <v>0</v>
      </c>
      <c r="L33" s="368">
        <f>' gsis'!R39</f>
        <v>4563.25</v>
      </c>
      <c r="M33" s="368">
        <f>' gsis'!S39</f>
        <v>2333.33</v>
      </c>
      <c r="N33" s="368">
        <f>' gsis'!Q39</f>
        <v>2272.3000000000002</v>
      </c>
      <c r="O33" s="368">
        <f>' gsis'!P39</f>
        <v>1966.67</v>
      </c>
      <c r="P33" s="308">
        <f>' gsis'!M39</f>
        <v>100</v>
      </c>
      <c r="Q33" s="308">
        <f>'PAG-IBIG'!H56</f>
        <v>200</v>
      </c>
      <c r="R33" s="413">
        <f>'PAG-IBIG'!I56</f>
        <v>200</v>
      </c>
      <c r="S33" s="366"/>
      <c r="T33" s="366"/>
      <c r="U33" s="366"/>
      <c r="V33" s="406">
        <f>'PHIC (1)'!W37</f>
        <v>1025.1500000000001</v>
      </c>
      <c r="W33" s="334">
        <f>'PHIC (1)'!X37</f>
        <v>1025.1500000000001</v>
      </c>
      <c r="X33" s="442">
        <f>WTAX!H32</f>
        <v>3307.28</v>
      </c>
      <c r="Y33" s="333"/>
      <c r="Z33" s="372"/>
      <c r="AA33" s="429"/>
      <c r="AB33" s="457">
        <f>CNGWMPC!S86</f>
        <v>1187.48</v>
      </c>
      <c r="AC33" s="308">
        <v>2000</v>
      </c>
      <c r="AD33" s="308"/>
      <c r="AE33" s="426"/>
      <c r="AF33" s="467">
        <f t="shared" si="0"/>
        <v>22359.999999999996</v>
      </c>
      <c r="AG33" s="479">
        <v>24</v>
      </c>
    </row>
    <row r="34" spans="1:48" ht="30" customHeight="1">
      <c r="A34" s="304">
        <v>25</v>
      </c>
      <c r="B34" s="305" t="s">
        <v>223</v>
      </c>
      <c r="C34" s="310" t="s">
        <v>224</v>
      </c>
      <c r="D34" s="701" t="s">
        <v>206</v>
      </c>
      <c r="E34" s="699">
        <f>' gsis'!H64</f>
        <v>80411</v>
      </c>
      <c r="F34" s="308">
        <f>' gsis'!I64</f>
        <v>7236.99</v>
      </c>
      <c r="G34" s="308">
        <f>' gsis'!J64</f>
        <v>9649.32</v>
      </c>
      <c r="H34" s="656">
        <f>' gsis'!K64</f>
        <v>100</v>
      </c>
      <c r="I34" s="378"/>
      <c r="J34" s="311"/>
      <c r="K34" s="368"/>
      <c r="L34" s="368"/>
      <c r="M34" s="368"/>
      <c r="N34" s="368"/>
      <c r="O34" s="368"/>
      <c r="P34" s="308"/>
      <c r="Q34" s="308">
        <f>'PAG-IBIG'!H57</f>
        <v>200</v>
      </c>
      <c r="R34" s="413">
        <f>'PAG-IBIG'!I57</f>
        <v>200</v>
      </c>
      <c r="S34" s="366"/>
      <c r="T34" s="366"/>
      <c r="U34" s="366"/>
      <c r="V34" s="406">
        <f>'PHIC (1)'!W38</f>
        <v>2010.27</v>
      </c>
      <c r="W34" s="334">
        <f>'PHIC (1)'!X38</f>
        <v>2010.28</v>
      </c>
      <c r="X34" s="442">
        <f>WTAX!H33</f>
        <v>12553.53</v>
      </c>
      <c r="Y34" s="333"/>
      <c r="Z34" s="372"/>
      <c r="AA34" s="429"/>
      <c r="AB34" s="457">
        <f>CNGWMPC!S87</f>
        <v>700.21</v>
      </c>
      <c r="AC34" s="308">
        <v>2000</v>
      </c>
      <c r="AD34" s="308"/>
      <c r="AE34" s="426"/>
      <c r="AF34" s="467">
        <f t="shared" si="0"/>
        <v>59709.999999999993</v>
      </c>
      <c r="AG34" s="479">
        <v>25</v>
      </c>
    </row>
    <row r="35" spans="1:48" ht="30" customHeight="1">
      <c r="A35" s="304">
        <v>26</v>
      </c>
      <c r="B35" s="305" t="s">
        <v>225</v>
      </c>
      <c r="C35" s="310" t="s">
        <v>226</v>
      </c>
      <c r="D35" s="700" t="s">
        <v>227</v>
      </c>
      <c r="E35" s="699">
        <f>' gsis'!H65</f>
        <v>41006</v>
      </c>
      <c r="F35" s="308">
        <f>' gsis'!I65</f>
        <v>3690.54</v>
      </c>
      <c r="G35" s="308">
        <f>' gsis'!J65</f>
        <v>4920.72</v>
      </c>
      <c r="H35" s="656">
        <f>' gsis'!K65</f>
        <v>100</v>
      </c>
      <c r="I35" s="367"/>
      <c r="J35" s="334"/>
      <c r="K35" s="368">
        <f>' gsis'!N65</f>
        <v>1099.53</v>
      </c>
      <c r="L35" s="368">
        <f>' gsis'!R65</f>
        <v>6109.05</v>
      </c>
      <c r="M35" s="368"/>
      <c r="N35" s="368"/>
      <c r="O35" s="368"/>
      <c r="P35" s="334"/>
      <c r="Q35" s="308">
        <f>'PAG-IBIG'!H58</f>
        <v>200</v>
      </c>
      <c r="R35" s="395">
        <f>'PAG-IBIG'!I58</f>
        <v>200</v>
      </c>
      <c r="S35" s="308"/>
      <c r="T35" s="367"/>
      <c r="U35" s="367"/>
      <c r="V35" s="406">
        <f>'PHIC (1)'!W39</f>
        <v>1025.1500000000001</v>
      </c>
      <c r="W35" s="334">
        <f>'PHIC (1)'!X39</f>
        <v>1025.1500000000001</v>
      </c>
      <c r="X35" s="334">
        <f>WTAX!H34</f>
        <v>3307.28</v>
      </c>
      <c r="Y35" s="334"/>
      <c r="Z35" s="334"/>
      <c r="AA35" s="429"/>
      <c r="AB35" s="457">
        <f>CNGWMPC!S88</f>
        <v>7114.45</v>
      </c>
      <c r="AC35" s="308">
        <v>2000</v>
      </c>
      <c r="AD35" s="334"/>
      <c r="AE35" s="468"/>
      <c r="AF35" s="467">
        <f t="shared" si="0"/>
        <v>20460</v>
      </c>
      <c r="AG35" s="479">
        <v>26</v>
      </c>
    </row>
    <row r="36" spans="1:48" ht="30" customHeight="1">
      <c r="A36" s="304">
        <v>27</v>
      </c>
      <c r="B36" s="305" t="s">
        <v>228</v>
      </c>
      <c r="C36" s="324" t="s">
        <v>229</v>
      </c>
      <c r="D36" s="700" t="s">
        <v>647</v>
      </c>
      <c r="E36" s="699">
        <f>' gsis'!H66</f>
        <v>51304</v>
      </c>
      <c r="F36" s="308">
        <f>' gsis'!I66</f>
        <v>4617.3599999999997</v>
      </c>
      <c r="G36" s="308">
        <f>' gsis'!J66</f>
        <v>6156.48</v>
      </c>
      <c r="H36" s="656">
        <f>' gsis'!K66</f>
        <v>100</v>
      </c>
      <c r="I36" s="367"/>
      <c r="J36" s="334"/>
      <c r="K36" s="368">
        <f>' gsis'!N66</f>
        <v>655.56</v>
      </c>
      <c r="L36" s="369">
        <f>' gsis'!R66</f>
        <v>7636.32</v>
      </c>
      <c r="M36" s="369"/>
      <c r="N36" s="368"/>
      <c r="O36" s="379"/>
      <c r="P36" s="334"/>
      <c r="Q36" s="308">
        <f>'PAG-IBIG'!H59</f>
        <v>200</v>
      </c>
      <c r="R36" s="395">
        <f>'PAG-IBIG'!I59</f>
        <v>200</v>
      </c>
      <c r="S36" s="308"/>
      <c r="T36" s="367"/>
      <c r="U36" s="367"/>
      <c r="V36" s="406">
        <f>'PHIC (1)'!W40</f>
        <v>1282.5999999999999</v>
      </c>
      <c r="W36" s="334">
        <f>'PHIC (1)'!X40</f>
        <v>1282.5999999999999</v>
      </c>
      <c r="X36" s="334">
        <f>WTAX!H35</f>
        <v>5518.71</v>
      </c>
      <c r="Y36" s="334"/>
      <c r="Z36" s="334"/>
      <c r="AA36" s="429"/>
      <c r="AB36" s="457">
        <f>CNGWMPC!S89</f>
        <v>12483.45</v>
      </c>
      <c r="AC36" s="308">
        <v>2000</v>
      </c>
      <c r="AD36" s="334"/>
      <c r="AE36" s="468"/>
      <c r="AF36" s="467">
        <f t="shared" si="0"/>
        <v>20910.000000000004</v>
      </c>
      <c r="AG36" s="479">
        <v>27</v>
      </c>
    </row>
    <row r="37" spans="1:48" ht="30" customHeight="1">
      <c r="A37" s="304">
        <v>28</v>
      </c>
      <c r="B37" s="305" t="s">
        <v>230</v>
      </c>
      <c r="C37" s="324" t="s">
        <v>231</v>
      </c>
      <c r="D37" s="700" t="s">
        <v>648</v>
      </c>
      <c r="E37" s="699">
        <f>' gsis'!H67</f>
        <v>40208</v>
      </c>
      <c r="F37" s="308">
        <f>' gsis'!I67</f>
        <v>3618.72</v>
      </c>
      <c r="G37" s="308">
        <f>' gsis'!J67</f>
        <v>4824.96</v>
      </c>
      <c r="H37" s="656">
        <f>' gsis'!K67</f>
        <v>100</v>
      </c>
      <c r="I37" s="367"/>
      <c r="J37" s="334"/>
      <c r="K37" s="368">
        <f>' gsis'!N67</f>
        <v>0</v>
      </c>
      <c r="L37" s="369">
        <f>' gsis'!R67</f>
        <v>5180.3100000000004</v>
      </c>
      <c r="M37" s="369">
        <f>' gsis'!S67</f>
        <v>1400</v>
      </c>
      <c r="N37" s="368"/>
      <c r="O37" s="379">
        <f>' gsis'!P67</f>
        <v>1966.67</v>
      </c>
      <c r="P37" s="334">
        <f>' gsis'!M67</f>
        <v>0</v>
      </c>
      <c r="Q37" s="308">
        <f>'PAG-IBIG'!H60</f>
        <v>200</v>
      </c>
      <c r="R37" s="395">
        <f>'PAG-IBIG'!I60</f>
        <v>200</v>
      </c>
      <c r="S37" s="308"/>
      <c r="T37" s="367"/>
      <c r="U37" s="367"/>
      <c r="V37" s="406">
        <f>'PHIC (1)'!W41</f>
        <v>1005.2</v>
      </c>
      <c r="W37" s="334">
        <f>'PHIC (1)'!X41</f>
        <v>1005.2</v>
      </c>
      <c r="X37" s="334">
        <f>WTAX!H36</f>
        <v>3135.93</v>
      </c>
      <c r="Y37" s="334"/>
      <c r="Z37" s="334">
        <f>LBP!H19</f>
        <v>10258.27</v>
      </c>
      <c r="AA37" s="429"/>
      <c r="AB37" s="457">
        <f>CNGWMPC!S90</f>
        <v>9609.9</v>
      </c>
      <c r="AC37" s="308">
        <v>2000</v>
      </c>
      <c r="AD37" s="334"/>
      <c r="AE37" s="468"/>
      <c r="AF37" s="467">
        <f t="shared" si="0"/>
        <v>5832.9999999999945</v>
      </c>
      <c r="AG37" s="479">
        <v>28</v>
      </c>
    </row>
    <row r="38" spans="1:48" ht="30" customHeight="1">
      <c r="A38" s="304">
        <v>29</v>
      </c>
      <c r="B38" s="305" t="s">
        <v>232</v>
      </c>
      <c r="C38" s="317" t="s">
        <v>233</v>
      </c>
      <c r="D38" s="700" t="s">
        <v>206</v>
      </c>
      <c r="E38" s="699">
        <f>' gsis'!H68</f>
        <v>78162</v>
      </c>
      <c r="F38" s="308">
        <f>' gsis'!I68</f>
        <v>7034.58</v>
      </c>
      <c r="G38" s="308">
        <f>' gsis'!J68</f>
        <v>9379.44</v>
      </c>
      <c r="H38" s="656">
        <f>' gsis'!K68</f>
        <v>100</v>
      </c>
      <c r="I38" s="367"/>
      <c r="J38" s="334"/>
      <c r="K38" s="334"/>
      <c r="L38" s="334">
        <f>' gsis'!R68</f>
        <v>8327.94</v>
      </c>
      <c r="M38" s="334"/>
      <c r="N38" s="334"/>
      <c r="O38" s="334">
        <f>' gsis'!P68</f>
        <v>1966.67</v>
      </c>
      <c r="P38" s="334">
        <f>' gsis'!M68</f>
        <v>500</v>
      </c>
      <c r="Q38" s="334">
        <f>'PAG-IBIG'!H61</f>
        <v>200</v>
      </c>
      <c r="R38" s="405">
        <f>'PAG-IBIG'!I61</f>
        <v>200</v>
      </c>
      <c r="S38" s="334"/>
      <c r="T38" s="367"/>
      <c r="U38" s="367"/>
      <c r="V38" s="406">
        <f>'PHIC (1)'!W42</f>
        <v>1954.05</v>
      </c>
      <c r="W38" s="334">
        <f>'PHIC (1)'!X42</f>
        <v>1954.05</v>
      </c>
      <c r="X38" s="334">
        <f>WTAX!H37</f>
        <v>11950.31</v>
      </c>
      <c r="Y38" s="443">
        <f>DBP!G20</f>
        <v>13219.59</v>
      </c>
      <c r="Z38" s="334">
        <f>LBP!H21</f>
        <v>15576.7</v>
      </c>
      <c r="AA38" s="429"/>
      <c r="AB38" s="457">
        <f>CNGWMPC!S91</f>
        <v>6422.16</v>
      </c>
      <c r="AC38" s="308">
        <v>2000</v>
      </c>
      <c r="AD38" s="334"/>
      <c r="AE38" s="430"/>
      <c r="AF38" s="467">
        <f t="shared" si="0"/>
        <v>13010</v>
      </c>
      <c r="AG38" s="479">
        <v>29</v>
      </c>
    </row>
    <row r="39" spans="1:48" ht="30" customHeight="1">
      <c r="A39" s="304">
        <v>30</v>
      </c>
      <c r="B39" s="305" t="s">
        <v>234</v>
      </c>
      <c r="C39" s="310" t="s">
        <v>235</v>
      </c>
      <c r="D39" s="702" t="s">
        <v>189</v>
      </c>
      <c r="E39" s="699">
        <f>' gsis'!H69</f>
        <v>16088</v>
      </c>
      <c r="F39" s="308">
        <f>' gsis'!I69</f>
        <v>1447.9199999999998</v>
      </c>
      <c r="G39" s="308">
        <f>' gsis'!J69</f>
        <v>1930.56</v>
      </c>
      <c r="H39" s="656">
        <f>' gsis'!K69</f>
        <v>100</v>
      </c>
      <c r="I39" s="367"/>
      <c r="J39" s="327"/>
      <c r="K39" s="334"/>
      <c r="L39" s="334"/>
      <c r="M39" s="334"/>
      <c r="N39" s="334"/>
      <c r="O39" s="334"/>
      <c r="P39" s="334"/>
      <c r="Q39" s="308">
        <f>'PAG-IBIG'!H62</f>
        <v>200</v>
      </c>
      <c r="R39" s="395">
        <f>'PAG-IBIG'!I62</f>
        <v>200</v>
      </c>
      <c r="S39" s="334"/>
      <c r="T39" s="334"/>
      <c r="U39" s="334"/>
      <c r="V39" s="406">
        <f>'PHIC (1)'!W43</f>
        <v>402.2</v>
      </c>
      <c r="W39" s="334">
        <f>'PHIC (1)'!X43</f>
        <v>402.2</v>
      </c>
      <c r="X39" s="306"/>
      <c r="Y39" s="308"/>
      <c r="Z39" s="433"/>
      <c r="AA39" s="429"/>
      <c r="AB39" s="458">
        <f>CNGWMPC!S92</f>
        <v>4587.88</v>
      </c>
      <c r="AC39" s="308">
        <v>2000</v>
      </c>
      <c r="AD39" s="334"/>
      <c r="AE39" s="308"/>
      <c r="AF39" s="467">
        <f t="shared" si="0"/>
        <v>11450</v>
      </c>
      <c r="AG39" s="479">
        <v>30</v>
      </c>
    </row>
    <row r="40" spans="1:48" ht="30" customHeight="1">
      <c r="A40" s="304">
        <v>31</v>
      </c>
      <c r="B40" s="305" t="s">
        <v>236</v>
      </c>
      <c r="C40" s="324" t="s">
        <v>237</v>
      </c>
      <c r="D40" s="700" t="s">
        <v>189</v>
      </c>
      <c r="E40" s="699">
        <f>' gsis'!H70</f>
        <v>16088</v>
      </c>
      <c r="F40" s="308">
        <f>' gsis'!I70</f>
        <v>1447.9199999999998</v>
      </c>
      <c r="G40" s="308">
        <f>' gsis'!J70</f>
        <v>1930.56</v>
      </c>
      <c r="H40" s="309">
        <f>' gsis'!K70</f>
        <v>100</v>
      </c>
      <c r="I40" s="334"/>
      <c r="J40" s="327"/>
      <c r="K40" s="334"/>
      <c r="L40" s="334"/>
      <c r="M40" s="334"/>
      <c r="N40" s="334"/>
      <c r="O40" s="334"/>
      <c r="P40" s="334"/>
      <c r="Q40" s="308">
        <f>'PAG-IBIG'!H63</f>
        <v>200</v>
      </c>
      <c r="R40" s="395">
        <f>'PAG-IBIG'!I63</f>
        <v>200</v>
      </c>
      <c r="S40" s="334"/>
      <c r="T40" s="334"/>
      <c r="U40" s="334"/>
      <c r="V40" s="406">
        <f>'PHIC (1)'!W44</f>
        <v>402.2</v>
      </c>
      <c r="W40" s="334">
        <f>'PHIC (1)'!X44</f>
        <v>402.2</v>
      </c>
      <c r="X40" s="306"/>
      <c r="Y40" s="308"/>
      <c r="Z40" s="433"/>
      <c r="AA40" s="429"/>
      <c r="AB40" s="458">
        <f>CNGWMPC!S93</f>
        <v>747.88</v>
      </c>
      <c r="AC40" s="308">
        <v>2000</v>
      </c>
      <c r="AD40" s="334"/>
      <c r="AE40" s="308"/>
      <c r="AF40" s="467">
        <f t="shared" si="0"/>
        <v>15290</v>
      </c>
      <c r="AG40" s="479">
        <v>31</v>
      </c>
    </row>
    <row r="41" spans="1:48" ht="30" customHeight="1">
      <c r="A41" s="304">
        <v>32</v>
      </c>
      <c r="B41" s="305" t="s">
        <v>238</v>
      </c>
      <c r="C41" s="324" t="s">
        <v>239</v>
      </c>
      <c r="D41" s="700" t="s">
        <v>240</v>
      </c>
      <c r="E41" s="699">
        <f>' gsis'!H71</f>
        <v>17084</v>
      </c>
      <c r="F41" s="366">
        <f>' gsis'!I71</f>
        <v>1537.56</v>
      </c>
      <c r="G41" s="308">
        <f>' gsis'!J71</f>
        <v>2050.08</v>
      </c>
      <c r="H41" s="309">
        <f>' gsis'!K71</f>
        <v>100</v>
      </c>
      <c r="I41" s="334"/>
      <c r="J41" s="327"/>
      <c r="K41" s="334"/>
      <c r="L41" s="334">
        <f>' gsis'!R71</f>
        <v>2219.77</v>
      </c>
      <c r="M41" s="334"/>
      <c r="N41" s="334"/>
      <c r="O41" s="334"/>
      <c r="P41" s="334"/>
      <c r="Q41" s="308">
        <f>'PAG-IBIG'!H64</f>
        <v>200</v>
      </c>
      <c r="R41" s="395">
        <f>'PAG-IBIG'!I64</f>
        <v>200</v>
      </c>
      <c r="S41" s="334"/>
      <c r="T41" s="334"/>
      <c r="U41" s="334"/>
      <c r="V41" s="406">
        <f>'PHIC (1)'!W45</f>
        <v>427.1</v>
      </c>
      <c r="W41" s="334">
        <f>'PHIC (1)'!X45</f>
        <v>427.1</v>
      </c>
      <c r="X41" s="306"/>
      <c r="Y41" s="308"/>
      <c r="Z41" s="433"/>
      <c r="AA41" s="429"/>
      <c r="AB41" s="458">
        <f>CNGWMPC!S94</f>
        <v>4709.57</v>
      </c>
      <c r="AC41" s="308">
        <v>2000</v>
      </c>
      <c r="AD41" s="334"/>
      <c r="AE41" s="308"/>
      <c r="AF41" s="467">
        <f t="shared" si="0"/>
        <v>9990</v>
      </c>
      <c r="AG41" s="479">
        <v>32</v>
      </c>
    </row>
    <row r="42" spans="1:48" ht="30" customHeight="1">
      <c r="A42" s="304">
        <v>33</v>
      </c>
      <c r="B42" s="695"/>
      <c r="C42" s="697" t="s">
        <v>241</v>
      </c>
      <c r="D42" s="703" t="s">
        <v>242</v>
      </c>
      <c r="E42" s="971">
        <f>' gsis'!H72</f>
        <v>15852</v>
      </c>
      <c r="F42" s="708">
        <f>' gsis'!I72</f>
        <v>1426.6799999999998</v>
      </c>
      <c r="G42" s="308">
        <f>' gsis'!J72</f>
        <v>1902.24</v>
      </c>
      <c r="H42" s="709">
        <f>' gsis'!K72</f>
        <v>100</v>
      </c>
      <c r="I42" s="707"/>
      <c r="J42" s="327"/>
      <c r="K42" s="711"/>
      <c r="L42" s="711"/>
      <c r="M42" s="714"/>
      <c r="N42" s="334"/>
      <c r="O42" s="334"/>
      <c r="P42" s="367"/>
      <c r="Q42" s="308">
        <f>'PAG-IBIG'!H65</f>
        <v>200</v>
      </c>
      <c r="R42" s="334">
        <f>'PAG-IBIG'!I65</f>
        <v>200</v>
      </c>
      <c r="S42" s="334"/>
      <c r="T42" s="367"/>
      <c r="U42" s="367">
        <f>PARACLE!H17</f>
        <v>0</v>
      </c>
      <c r="V42" s="715">
        <f>'PHIC (1)'!W46</f>
        <v>396.3</v>
      </c>
      <c r="W42" s="714">
        <f>'PHIC (1)'!X46</f>
        <v>396.3</v>
      </c>
      <c r="X42" s="306"/>
      <c r="Y42" s="334"/>
      <c r="Z42" s="433">
        <f>LBP!H22</f>
        <v>4577.29</v>
      </c>
      <c r="AA42" s="444"/>
      <c r="AB42" s="429">
        <f>CNGWMPC!S95</f>
        <v>3171.73</v>
      </c>
      <c r="AC42" s="708">
        <v>2000</v>
      </c>
      <c r="AD42" s="714"/>
      <c r="AE42" s="334"/>
      <c r="AF42" s="467">
        <f>E42-F42-I42-J42-K42-L42-M42-N42-O42-P42-Q42-S42-T42-V42-X42-Y42-Z42-AB42+AC42+AD42+AE42-U42</f>
        <v>8080</v>
      </c>
      <c r="AG42" s="479">
        <v>33</v>
      </c>
    </row>
    <row r="43" spans="1:48" ht="30" customHeight="1">
      <c r="A43" s="304">
        <v>34</v>
      </c>
      <c r="B43" s="695"/>
      <c r="C43" s="697" t="s">
        <v>649</v>
      </c>
      <c r="D43" s="700" t="s">
        <v>212</v>
      </c>
      <c r="E43" s="705">
        <f>' gsis'!H73</f>
        <v>40208</v>
      </c>
      <c r="F43" s="708">
        <f>' gsis'!I73</f>
        <v>3618.72</v>
      </c>
      <c r="G43" s="308">
        <f>' gsis'!J73</f>
        <v>4824.96</v>
      </c>
      <c r="H43" s="709">
        <f>' gsis'!K73</f>
        <v>100</v>
      </c>
      <c r="I43" s="710"/>
      <c r="J43" s="712"/>
      <c r="K43" s="710"/>
      <c r="L43" s="710"/>
      <c r="M43" s="710"/>
      <c r="N43" s="710"/>
      <c r="O43" s="469">
        <f>' gsis'!P73</f>
        <v>1966.67</v>
      </c>
      <c r="P43" s="710"/>
      <c r="Q43" s="308">
        <f>'PAG-IBIG'!H66</f>
        <v>200</v>
      </c>
      <c r="R43" s="334">
        <f>'PAG-IBIG'!I66</f>
        <v>200</v>
      </c>
      <c r="S43" s="710"/>
      <c r="T43" s="710"/>
      <c r="U43" s="710"/>
      <c r="V43" s="716">
        <f>'PHIC (1)'!W47</f>
        <v>1005.2</v>
      </c>
      <c r="W43" s="469">
        <f>'PHIC (1)'!X47</f>
        <v>1005.2</v>
      </c>
      <c r="X43" s="717">
        <f>WTAX!H38</f>
        <v>3145.93</v>
      </c>
      <c r="Y43" s="710"/>
      <c r="Z43" s="719"/>
      <c r="AA43" s="694"/>
      <c r="AB43" s="721">
        <f>CNGWMPC!S96</f>
        <v>701.48</v>
      </c>
      <c r="AC43" s="708">
        <v>2000</v>
      </c>
      <c r="AD43" s="710"/>
      <c r="AE43" s="469"/>
      <c r="AF43" s="467">
        <f t="shared" si="0"/>
        <v>31570.000000000004</v>
      </c>
      <c r="AG43" s="479">
        <v>34</v>
      </c>
    </row>
    <row r="44" spans="1:48" ht="30" customHeight="1">
      <c r="A44" s="304">
        <v>35</v>
      </c>
      <c r="B44" s="696"/>
      <c r="C44" s="698" t="s">
        <v>650</v>
      </c>
      <c r="D44" s="724" t="s">
        <v>652</v>
      </c>
      <c r="E44" s="705">
        <f>' gsis'!H74</f>
        <v>30024</v>
      </c>
      <c r="F44" s="708">
        <f>' gsis'!I74</f>
        <v>2702.16</v>
      </c>
      <c r="G44" s="308">
        <f>' gsis'!J74</f>
        <v>3602.8799999999997</v>
      </c>
      <c r="H44" s="709">
        <f>' gsis'!K74</f>
        <v>100</v>
      </c>
      <c r="I44" s="710"/>
      <c r="J44" s="712"/>
      <c r="K44" s="710"/>
      <c r="L44" s="710">
        <f>' gsis'!R74</f>
        <v>2551.23</v>
      </c>
      <c r="M44" s="710">
        <f>' gsis'!S74</f>
        <v>1783.33</v>
      </c>
      <c r="N44" s="710"/>
      <c r="O44" s="469"/>
      <c r="P44" s="710"/>
      <c r="Q44" s="308">
        <f>'PAG-IBIG'!H67</f>
        <v>200</v>
      </c>
      <c r="R44" s="334">
        <f>'PAG-IBIG'!I67</f>
        <v>200</v>
      </c>
      <c r="S44" s="710"/>
      <c r="T44" s="710"/>
      <c r="U44" s="710"/>
      <c r="V44" s="716">
        <f>'PHIC (1)'!W48</f>
        <v>750.6</v>
      </c>
      <c r="W44" s="469">
        <f>'PHIC (1)'!X48</f>
        <v>750.6</v>
      </c>
      <c r="X44" s="717">
        <f>WTAX!H39</f>
        <v>1631.41</v>
      </c>
      <c r="Y44" s="710"/>
      <c r="Z44" s="719"/>
      <c r="AA44" s="694"/>
      <c r="AB44" s="721">
        <f>CNGWMPC!S97</f>
        <v>705.27</v>
      </c>
      <c r="AC44" s="708">
        <v>2000</v>
      </c>
      <c r="AD44" s="710"/>
      <c r="AE44" s="469"/>
      <c r="AF44" s="467">
        <f t="shared" si="0"/>
        <v>21700</v>
      </c>
      <c r="AG44" s="479">
        <v>35</v>
      </c>
    </row>
    <row r="45" spans="1:48" ht="30" customHeight="1">
      <c r="A45" s="304">
        <v>36</v>
      </c>
      <c r="B45" s="696"/>
      <c r="C45" s="698" t="s">
        <v>651</v>
      </c>
      <c r="D45" s="724" t="s">
        <v>212</v>
      </c>
      <c r="E45" s="705">
        <f>' gsis'!H75</f>
        <v>40208</v>
      </c>
      <c r="F45" s="708">
        <f>' gsis'!I75</f>
        <v>3618.72</v>
      </c>
      <c r="G45" s="308">
        <f>' gsis'!J75</f>
        <v>4824.96</v>
      </c>
      <c r="H45" s="709">
        <f>' gsis'!K75</f>
        <v>100</v>
      </c>
      <c r="I45" s="711"/>
      <c r="J45" s="713"/>
      <c r="K45" s="711"/>
      <c r="L45" s="711"/>
      <c r="M45" s="711"/>
      <c r="N45" s="711"/>
      <c r="O45" s="469"/>
      <c r="P45" s="708"/>
      <c r="Q45" s="308">
        <f>'PAG-IBIG'!H68</f>
        <v>200</v>
      </c>
      <c r="R45" s="334">
        <f>'PAG-IBIG'!I68</f>
        <v>200</v>
      </c>
      <c r="S45" s="708"/>
      <c r="T45" s="708"/>
      <c r="U45" s="708"/>
      <c r="V45" s="715">
        <f>'PHIC (1)'!W49</f>
        <v>1005.2</v>
      </c>
      <c r="W45" s="469">
        <f>'PHIC (1)'!X49</f>
        <v>1005.2</v>
      </c>
      <c r="X45" s="718">
        <f>WTAX!H40</f>
        <v>3145.93</v>
      </c>
      <c r="Y45" s="708"/>
      <c r="Z45" s="720"/>
      <c r="AA45" s="694"/>
      <c r="AB45" s="722">
        <f>CNGWMPC!S98</f>
        <v>708.15</v>
      </c>
      <c r="AC45" s="708">
        <v>2000</v>
      </c>
      <c r="AD45" s="708"/>
      <c r="AE45" s="469"/>
      <c r="AF45" s="467">
        <f t="shared" si="0"/>
        <v>33530</v>
      </c>
      <c r="AG45" s="479">
        <v>36</v>
      </c>
    </row>
    <row r="46" spans="1:48" s="277" customFormat="1" ht="31.5" customHeight="1" outlineLevel="1" thickBot="1">
      <c r="A46" s="335"/>
      <c r="B46" s="336"/>
      <c r="C46" s="337"/>
      <c r="D46" s="338"/>
      <c r="E46" s="706">
        <f>SUM(E10:E45)</f>
        <v>1538150</v>
      </c>
      <c r="F46" s="704">
        <f>SUM(F10:F45)</f>
        <v>138433.49999999997</v>
      </c>
      <c r="G46" s="339">
        <f>SUM(G10:G45)</f>
        <v>184577.99999999997</v>
      </c>
      <c r="H46" s="340">
        <f>SUM(H10:H45)</f>
        <v>3600</v>
      </c>
      <c r="I46" s="339">
        <f t="shared" ref="I46:P46" si="1">SUM(I10:I41)</f>
        <v>1533.5</v>
      </c>
      <c r="J46" s="339">
        <f t="shared" si="1"/>
        <v>0</v>
      </c>
      <c r="K46" s="339">
        <f t="shared" si="1"/>
        <v>7143.9</v>
      </c>
      <c r="L46" s="339">
        <f>SUM(L10:L45)</f>
        <v>134700.56</v>
      </c>
      <c r="M46" s="339">
        <f>SUM(M10:M45)</f>
        <v>27866.640000000007</v>
      </c>
      <c r="N46" s="339">
        <f t="shared" si="1"/>
        <v>94586.030000000013</v>
      </c>
      <c r="O46" s="706">
        <f t="shared" si="1"/>
        <v>23600.039999999994</v>
      </c>
      <c r="P46" s="704">
        <f t="shared" si="1"/>
        <v>3100</v>
      </c>
      <c r="Q46" s="339">
        <f>SUM(Q10:Q45)</f>
        <v>10500</v>
      </c>
      <c r="R46" s="339">
        <f>SUM(R10:R45)</f>
        <v>7200</v>
      </c>
      <c r="S46" s="339">
        <f>SUM(S10:S41)</f>
        <v>9017.7099999999991</v>
      </c>
      <c r="T46" s="339">
        <f>SUM(T10:T41)</f>
        <v>970.5</v>
      </c>
      <c r="U46" s="339">
        <f>SUM(U10:U41)</f>
        <v>0</v>
      </c>
      <c r="V46" s="339">
        <f>SUM(V10:V45)</f>
        <v>37646.709999999992</v>
      </c>
      <c r="W46" s="706">
        <f>SUM(W10:W45)</f>
        <v>37646.789999999994</v>
      </c>
      <c r="X46" s="704">
        <f>SUM(X10:X45)</f>
        <v>145589.85999999999</v>
      </c>
      <c r="Y46" s="339">
        <f>SUM(Y10:Y41)</f>
        <v>71266.850000000006</v>
      </c>
      <c r="Z46" s="339">
        <f>SUM(Z10:Z42)</f>
        <v>66370.289999999994</v>
      </c>
      <c r="AA46" s="445">
        <f>SUM(AA10:AA30)</f>
        <v>0</v>
      </c>
      <c r="AB46" s="339">
        <f>SUM(AB10:AB45)</f>
        <v>168462.24000000002</v>
      </c>
      <c r="AC46" s="339">
        <f>SUM(AC10:AC45)</f>
        <v>72000</v>
      </c>
      <c r="AD46" s="339">
        <f>SUM(AD10:AD41)</f>
        <v>9500</v>
      </c>
      <c r="AE46" s="723">
        <f>SUM(AE10:AE30)</f>
        <v>9500</v>
      </c>
      <c r="AF46" s="467">
        <f>E46-F46-I46-J46-K46-L46-M46-N46-O46-P46-Q46-S46-T46-V46-X46-Y46-Z46-AB46+AC46+AD46+AE46-U46</f>
        <v>688361.67000000016</v>
      </c>
      <c r="AG46" s="479"/>
      <c r="AH46" s="42"/>
      <c r="AI46" s="42"/>
      <c r="AJ46" s="42"/>
      <c r="AK46" s="42"/>
      <c r="AL46" s="42"/>
      <c r="AM46" s="42"/>
      <c r="AN46" s="42"/>
      <c r="AO46" s="42"/>
      <c r="AP46" s="42"/>
      <c r="AQ46" s="42"/>
      <c r="AR46" s="42"/>
      <c r="AS46" s="42"/>
      <c r="AT46" s="42"/>
      <c r="AU46" s="42"/>
      <c r="AV46" s="42"/>
    </row>
    <row r="47" spans="1:48" s="278" customFormat="1" ht="21" customHeight="1" outlineLevel="1" thickTop="1" thickBot="1">
      <c r="A47" s="341"/>
      <c r="B47" s="342"/>
      <c r="C47" s="343" t="s">
        <v>22</v>
      </c>
      <c r="D47" s="344"/>
      <c r="E47" s="345"/>
      <c r="F47" s="346"/>
      <c r="G47" s="346"/>
      <c r="H47" s="347"/>
      <c r="I47" s="346"/>
      <c r="J47" s="346"/>
      <c r="K47" s="346"/>
      <c r="L47" s="346"/>
      <c r="M47" s="346"/>
      <c r="N47" s="346"/>
      <c r="O47" s="346"/>
      <c r="P47" s="346"/>
      <c r="Q47" s="346"/>
      <c r="R47" s="414"/>
      <c r="S47" s="415"/>
      <c r="T47" s="415"/>
      <c r="U47" s="415"/>
      <c r="V47" s="415"/>
      <c r="W47" s="346"/>
      <c r="X47" s="315"/>
      <c r="Y47" s="346"/>
      <c r="Z47" s="315"/>
      <c r="AA47" s="446"/>
      <c r="AB47" s="315"/>
      <c r="AC47" s="315"/>
      <c r="AD47" s="315"/>
      <c r="AE47" s="346"/>
      <c r="AF47" s="470"/>
      <c r="AG47" s="480"/>
      <c r="AH47" s="42"/>
      <c r="AI47" s="42"/>
      <c r="AJ47" s="42"/>
      <c r="AK47" s="42"/>
      <c r="AL47" s="42"/>
      <c r="AM47" s="42"/>
      <c r="AN47" s="42"/>
      <c r="AO47" s="42"/>
      <c r="AP47" s="42"/>
      <c r="AQ47" s="42"/>
      <c r="AR47" s="42"/>
      <c r="AS47" s="42"/>
      <c r="AT47" s="42"/>
      <c r="AU47" s="42"/>
      <c r="AV47" s="42"/>
    </row>
    <row r="48" spans="1:48" ht="24" thickTop="1">
      <c r="A48" s="349"/>
      <c r="B48" s="280" t="s">
        <v>243</v>
      </c>
      <c r="C48" s="350"/>
      <c r="D48" s="280"/>
      <c r="E48" s="280"/>
      <c r="F48" s="280"/>
      <c r="G48" s="348"/>
      <c r="H48" s="348"/>
      <c r="I48" s="350" t="s">
        <v>244</v>
      </c>
      <c r="J48" s="350"/>
      <c r="K48" s="350"/>
      <c r="L48" s="348"/>
      <c r="M48" s="348"/>
      <c r="N48" s="348"/>
      <c r="O48" s="348"/>
      <c r="P48" s="348"/>
      <c r="Q48" s="348"/>
      <c r="R48" s="416"/>
      <c r="S48" s="416"/>
      <c r="T48" s="416"/>
      <c r="U48" s="416"/>
      <c r="V48" s="416"/>
      <c r="X48" s="416"/>
      <c r="Y48" s="447"/>
      <c r="Z48" s="471" t="s">
        <v>245</v>
      </c>
      <c r="AA48" s="448"/>
      <c r="AB48" s="449"/>
      <c r="AD48" s="471"/>
      <c r="AE48" s="471"/>
      <c r="AF48" s="471"/>
      <c r="AG48" s="481"/>
    </row>
    <row r="49" spans="1:48">
      <c r="A49" s="349"/>
      <c r="B49" s="280"/>
      <c r="C49" s="350"/>
      <c r="D49" s="351" t="s">
        <v>246</v>
      </c>
      <c r="E49" s="352"/>
      <c r="F49" s="352"/>
      <c r="G49" s="353"/>
      <c r="H49" s="353"/>
      <c r="I49" s="353"/>
      <c r="J49" s="353"/>
      <c r="K49" s="353"/>
      <c r="L49" s="353"/>
      <c r="M49" s="353"/>
      <c r="N49" s="353"/>
      <c r="O49" s="353"/>
      <c r="P49" s="353"/>
      <c r="Q49" s="353"/>
      <c r="S49" s="449" t="s">
        <v>673</v>
      </c>
      <c r="T49" s="354"/>
      <c r="U49" s="348"/>
      <c r="V49" s="348"/>
      <c r="Y49" s="353"/>
      <c r="Z49" s="472" t="s">
        <v>247</v>
      </c>
      <c r="AA49" s="448"/>
      <c r="AB49" s="692"/>
      <c r="AD49" s="472"/>
      <c r="AE49" s="278"/>
      <c r="AF49" s="473"/>
      <c r="AG49" s="482"/>
    </row>
    <row r="50" spans="1:48" s="279" customFormat="1" ht="23.25" customHeight="1">
      <c r="A50" s="349"/>
      <c r="B50" s="280"/>
      <c r="C50" s="350"/>
      <c r="D50" s="280"/>
      <c r="E50" s="354"/>
      <c r="F50" s="352"/>
      <c r="G50" s="1122"/>
      <c r="H50" s="1122"/>
      <c r="I50" s="1122"/>
      <c r="J50" s="689" t="s">
        <v>248</v>
      </c>
      <c r="K50" s="1123"/>
      <c r="L50" s="1123"/>
      <c r="M50" s="1123"/>
      <c r="N50" s="1123"/>
      <c r="O50" s="1123"/>
      <c r="P50" s="1123"/>
      <c r="Q50" s="302"/>
      <c r="R50" s="1124" t="s">
        <v>674</v>
      </c>
      <c r="S50" s="1124"/>
      <c r="T50" s="1124"/>
      <c r="U50" s="1124"/>
      <c r="V50" s="1124"/>
      <c r="W50" s="1124"/>
      <c r="X50" s="690"/>
      <c r="Y50" s="690"/>
      <c r="Z50" s="471" t="s">
        <v>249</v>
      </c>
      <c r="AA50" s="690"/>
      <c r="AB50" s="280"/>
      <c r="AD50" s="474"/>
      <c r="AE50" s="278"/>
      <c r="AF50" s="473"/>
      <c r="AG50" s="482"/>
      <c r="AH50" s="42"/>
      <c r="AI50" s="42"/>
      <c r="AJ50" s="42"/>
      <c r="AK50" s="42"/>
      <c r="AL50" s="42"/>
      <c r="AM50" s="42"/>
      <c r="AN50" s="42"/>
      <c r="AO50" s="42"/>
      <c r="AP50" s="42"/>
      <c r="AQ50" s="42"/>
      <c r="AR50" s="42"/>
      <c r="AS50" s="42"/>
      <c r="AT50" s="42"/>
      <c r="AU50" s="42"/>
      <c r="AV50" s="42"/>
    </row>
    <row r="51" spans="1:48" s="279" customFormat="1" ht="23.25" customHeight="1">
      <c r="A51" s="349"/>
      <c r="B51" s="280" t="s">
        <v>250</v>
      </c>
      <c r="C51" s="350"/>
      <c r="D51" s="280"/>
      <c r="E51" s="280"/>
      <c r="F51" s="280"/>
      <c r="G51" s="1124"/>
      <c r="H51" s="1124"/>
      <c r="I51" s="1124"/>
      <c r="J51" s="350"/>
      <c r="K51" s="350"/>
      <c r="L51" s="350"/>
      <c r="M51" s="350"/>
      <c r="N51" s="350"/>
      <c r="O51" s="350"/>
      <c r="P51" s="350"/>
      <c r="Q51" s="350"/>
      <c r="R51" s="274" t="s">
        <v>675</v>
      </c>
      <c r="S51" s="274"/>
      <c r="T51" s="274"/>
      <c r="U51" s="274"/>
      <c r="V51" s="274"/>
      <c r="W51" s="274"/>
      <c r="X51" s="283"/>
      <c r="Y51" s="280"/>
      <c r="Z51" s="471" t="s">
        <v>251</v>
      </c>
      <c r="AA51" s="689"/>
      <c r="AB51" s="350"/>
      <c r="AD51" s="278"/>
      <c r="AE51" s="278"/>
      <c r="AF51" s="473"/>
      <c r="AG51" s="482"/>
      <c r="AH51" s="42"/>
      <c r="AI51" s="42"/>
      <c r="AJ51" s="42"/>
      <c r="AK51" s="42"/>
      <c r="AL51" s="42"/>
      <c r="AM51" s="42"/>
      <c r="AN51" s="42"/>
      <c r="AO51" s="42"/>
      <c r="AP51" s="42"/>
      <c r="AQ51" s="42"/>
      <c r="AR51" s="42"/>
      <c r="AS51" s="42"/>
      <c r="AT51" s="42"/>
      <c r="AU51" s="42"/>
      <c r="AV51" s="42"/>
    </row>
    <row r="52" spans="1:48" s="279" customFormat="1" ht="23.25" customHeight="1">
      <c r="A52" s="349"/>
      <c r="B52" s="280" t="s">
        <v>252</v>
      </c>
      <c r="C52" s="280"/>
      <c r="D52" s="280"/>
      <c r="E52" s="280" t="s">
        <v>683</v>
      </c>
      <c r="F52" s="280"/>
      <c r="G52" s="350"/>
      <c r="H52" s="729" t="s">
        <v>253</v>
      </c>
      <c r="I52" s="729"/>
      <c r="J52" s="729"/>
      <c r="K52" s="729"/>
      <c r="L52" s="729"/>
      <c r="M52" s="729"/>
      <c r="N52" s="380"/>
      <c r="O52" s="380"/>
      <c r="P52" s="350"/>
      <c r="Q52" s="380"/>
      <c r="R52" s="350" t="s">
        <v>676</v>
      </c>
      <c r="S52" s="350"/>
      <c r="T52" s="350"/>
      <c r="U52" s="350"/>
      <c r="V52" s="350"/>
      <c r="W52" s="350"/>
      <c r="X52" s="283"/>
      <c r="Y52" s="280"/>
      <c r="Z52" s="471" t="s">
        <v>254</v>
      </c>
      <c r="AA52" s="302"/>
      <c r="AB52" s="280"/>
      <c r="AD52" s="471"/>
      <c r="AE52" s="278"/>
      <c r="AF52" s="473"/>
      <c r="AG52" s="482"/>
      <c r="AH52" s="42"/>
      <c r="AI52" s="42"/>
      <c r="AJ52" s="42"/>
      <c r="AK52" s="42"/>
      <c r="AL52" s="42"/>
      <c r="AM52" s="42"/>
      <c r="AN52" s="42"/>
      <c r="AO52" s="42"/>
      <c r="AP52" s="42"/>
      <c r="AQ52" s="42"/>
      <c r="AR52" s="42"/>
      <c r="AS52" s="42"/>
      <c r="AT52" s="42"/>
      <c r="AU52" s="42"/>
      <c r="AV52" s="42"/>
    </row>
    <row r="53" spans="1:48" s="279" customFormat="1" ht="25.2">
      <c r="A53" s="967"/>
      <c r="B53" s="959"/>
      <c r="C53" s="914"/>
      <c r="D53" s="350"/>
      <c r="E53" s="280" t="s">
        <v>684</v>
      </c>
      <c r="F53" s="280"/>
      <c r="G53" s="280"/>
      <c r="H53" s="350" t="s">
        <v>255</v>
      </c>
      <c r="I53" s="350"/>
      <c r="J53" s="350"/>
      <c r="K53" s="1107" t="s">
        <v>284</v>
      </c>
      <c r="L53" s="1107"/>
      <c r="M53" s="1107"/>
      <c r="N53" s="361"/>
      <c r="O53" s="361"/>
      <c r="P53" s="361"/>
      <c r="Q53" s="417"/>
      <c r="R53" s="280"/>
      <c r="S53" s="350" t="s">
        <v>677</v>
      </c>
      <c r="T53" s="350"/>
      <c r="U53" s="350"/>
      <c r="V53" s="350"/>
      <c r="W53" s="691"/>
      <c r="X53" s="691"/>
      <c r="Y53" s="280"/>
      <c r="Z53" s="278"/>
      <c r="AA53" s="274" t="s">
        <v>256</v>
      </c>
      <c r="AB53" s="274"/>
      <c r="AD53" s="475"/>
      <c r="AE53" s="278"/>
      <c r="AF53" s="473"/>
      <c r="AG53" s="482"/>
      <c r="AH53" s="42"/>
      <c r="AI53" s="42"/>
      <c r="AJ53" s="42"/>
      <c r="AK53" s="42"/>
      <c r="AL53" s="42"/>
      <c r="AM53" s="42"/>
      <c r="AN53" s="42"/>
      <c r="AO53" s="42"/>
      <c r="AP53" s="42"/>
      <c r="AQ53" s="42"/>
      <c r="AR53" s="42"/>
      <c r="AS53" s="42"/>
      <c r="AT53" s="42"/>
      <c r="AU53" s="42"/>
      <c r="AV53" s="42"/>
    </row>
    <row r="54" spans="1:48" s="279" customFormat="1">
      <c r="A54" s="967"/>
      <c r="B54" s="959"/>
      <c r="C54" s="914"/>
      <c r="D54" s="350"/>
      <c r="E54" s="280"/>
      <c r="F54" s="354"/>
      <c r="G54" s="354"/>
      <c r="H54" s="280"/>
      <c r="I54" s="280"/>
      <c r="J54" s="280"/>
      <c r="K54" s="350"/>
      <c r="L54" s="280"/>
      <c r="M54" s="280"/>
      <c r="N54" s="280"/>
      <c r="O54" s="280"/>
      <c r="P54" s="280"/>
      <c r="Q54" s="280"/>
      <c r="R54" s="274" t="s">
        <v>678</v>
      </c>
      <c r="S54" s="274"/>
      <c r="T54" s="274"/>
      <c r="U54" s="274"/>
      <c r="V54" s="274"/>
      <c r="W54" s="274"/>
      <c r="X54" s="274"/>
      <c r="Y54" s="280"/>
      <c r="Z54" s="278" t="s">
        <v>258</v>
      </c>
      <c r="AA54" s="274" t="s">
        <v>257</v>
      </c>
      <c r="AB54" s="688"/>
      <c r="AD54" s="278"/>
      <c r="AE54" s="278"/>
      <c r="AF54" s="278"/>
      <c r="AG54" s="482"/>
      <c r="AH54" s="42"/>
      <c r="AI54" s="42"/>
      <c r="AJ54" s="42"/>
      <c r="AK54" s="42"/>
      <c r="AL54" s="42"/>
      <c r="AM54" s="42"/>
      <c r="AN54" s="42"/>
      <c r="AO54" s="42"/>
      <c r="AP54" s="42"/>
      <c r="AQ54" s="42"/>
      <c r="AR54" s="42"/>
      <c r="AS54" s="42"/>
      <c r="AT54" s="42"/>
      <c r="AU54" s="42"/>
      <c r="AV54" s="42"/>
    </row>
    <row r="55" spans="1:48" s="279" customFormat="1">
      <c r="A55" s="967"/>
      <c r="B55" s="959"/>
      <c r="C55" s="968"/>
      <c r="D55" s="350"/>
      <c r="E55" s="280"/>
      <c r="F55" s="354"/>
      <c r="G55" s="354"/>
      <c r="H55" s="354"/>
      <c r="I55" s="354"/>
      <c r="J55" s="354"/>
      <c r="K55" s="354"/>
      <c r="L55" s="354"/>
      <c r="M55" s="354"/>
      <c r="N55" s="354"/>
      <c r="O55" s="354"/>
      <c r="P55" s="354"/>
      <c r="Q55" s="354"/>
      <c r="R55" s="354"/>
      <c r="S55" s="274"/>
      <c r="T55" s="274"/>
      <c r="U55" s="274"/>
      <c r="V55" s="274"/>
      <c r="W55" s="354"/>
      <c r="X55" s="283"/>
      <c r="Y55" s="280"/>
      <c r="Z55" s="278" t="s">
        <v>259</v>
      </c>
      <c r="AD55" s="278"/>
      <c r="AE55" s="278"/>
      <c r="AF55" s="278"/>
      <c r="AG55" s="482"/>
      <c r="AH55" s="42"/>
      <c r="AI55" s="42"/>
      <c r="AJ55" s="42"/>
      <c r="AK55" s="42"/>
      <c r="AL55" s="42"/>
      <c r="AM55" s="42"/>
      <c r="AN55" s="42"/>
      <c r="AO55" s="42"/>
      <c r="AP55" s="42"/>
      <c r="AQ55" s="42"/>
      <c r="AR55" s="42"/>
      <c r="AS55" s="42"/>
      <c r="AT55" s="42"/>
      <c r="AU55" s="42"/>
      <c r="AV55" s="42"/>
    </row>
    <row r="56" spans="1:48" s="279" customFormat="1">
      <c r="A56" s="967"/>
      <c r="B56" s="959"/>
      <c r="C56" s="914"/>
      <c r="D56" s="350"/>
      <c r="E56" s="280"/>
      <c r="F56" s="280"/>
      <c r="G56" s="280"/>
      <c r="H56" s="280"/>
      <c r="I56" s="280"/>
      <c r="J56" s="280"/>
      <c r="K56" s="280"/>
      <c r="L56" s="280"/>
      <c r="M56" s="280"/>
      <c r="N56" s="280"/>
      <c r="O56" s="280"/>
      <c r="P56" s="280"/>
      <c r="Q56" s="280"/>
      <c r="R56" s="283"/>
      <c r="S56" s="283"/>
      <c r="T56" s="918" t="s">
        <v>42</v>
      </c>
      <c r="U56" s="283"/>
      <c r="V56" s="283"/>
      <c r="W56" s="283"/>
      <c r="X56" s="283"/>
      <c r="Y56" s="280"/>
      <c r="Z56" s="278" t="s">
        <v>260</v>
      </c>
      <c r="AD56" s="278"/>
      <c r="AE56" s="278"/>
      <c r="AF56" s="278"/>
      <c r="AG56" s="482"/>
      <c r="AH56" s="42"/>
      <c r="AI56" s="42"/>
      <c r="AJ56" s="42"/>
      <c r="AK56" s="42"/>
      <c r="AL56" s="42"/>
      <c r="AM56" s="42"/>
      <c r="AN56" s="42"/>
      <c r="AO56" s="42"/>
      <c r="AP56" s="42"/>
      <c r="AQ56" s="42"/>
      <c r="AR56" s="42"/>
      <c r="AS56" s="42"/>
      <c r="AT56" s="42"/>
      <c r="AU56" s="42"/>
      <c r="AV56" s="42"/>
    </row>
    <row r="57" spans="1:48" s="279" customFormat="1">
      <c r="A57" s="969"/>
      <c r="B57" s="970"/>
      <c r="C57" s="914"/>
      <c r="D57" s="1108"/>
      <c r="E57" s="1108"/>
      <c r="F57" s="1108"/>
      <c r="G57" s="280"/>
      <c r="H57" s="280"/>
      <c r="I57" s="280"/>
      <c r="J57" s="280"/>
      <c r="K57" s="280"/>
      <c r="L57" s="280"/>
      <c r="M57" s="280"/>
      <c r="N57" s="280"/>
      <c r="O57" s="280"/>
      <c r="P57" s="280"/>
      <c r="Q57" s="280"/>
      <c r="R57" s="283"/>
      <c r="S57" s="283"/>
      <c r="T57" s="919" t="s">
        <v>261</v>
      </c>
      <c r="U57" s="283"/>
      <c r="V57" s="283"/>
      <c r="W57" s="283"/>
      <c r="X57" s="283"/>
      <c r="Y57" s="280"/>
      <c r="Z57" s="283"/>
      <c r="AA57" s="294"/>
      <c r="AB57" s="283"/>
      <c r="AC57" s="283"/>
      <c r="AD57" s="283"/>
      <c r="AF57" s="461"/>
      <c r="AG57" s="483"/>
      <c r="AH57" s="42"/>
      <c r="AI57" s="42"/>
      <c r="AJ57" s="42"/>
      <c r="AK57" s="42"/>
      <c r="AL57" s="42"/>
      <c r="AM57" s="42"/>
      <c r="AN57" s="42"/>
      <c r="AO57" s="42"/>
      <c r="AP57" s="42"/>
      <c r="AQ57" s="42"/>
      <c r="AR57" s="42"/>
      <c r="AS57" s="42"/>
      <c r="AT57" s="42"/>
      <c r="AU57" s="42"/>
      <c r="AV57" s="42"/>
    </row>
    <row r="58" spans="1:48" s="280" customFormat="1" ht="43.5" customHeight="1">
      <c r="A58" s="1119" t="s">
        <v>262</v>
      </c>
      <c r="B58" s="1120"/>
      <c r="C58" s="1117" t="s">
        <v>263</v>
      </c>
      <c r="D58" s="1117"/>
      <c r="E58" s="357"/>
      <c r="F58" s="358"/>
      <c r="G58" s="358"/>
      <c r="H58" s="357"/>
      <c r="I58" s="381" t="s">
        <v>264</v>
      </c>
      <c r="J58" s="382"/>
      <c r="K58" s="382"/>
      <c r="L58" s="382"/>
      <c r="M58" s="382"/>
      <c r="N58" s="357"/>
      <c r="O58" s="357"/>
      <c r="P58" s="418"/>
      <c r="Q58" s="356" t="s">
        <v>265</v>
      </c>
      <c r="R58" s="357"/>
      <c r="S58" s="357"/>
      <c r="T58" s="357"/>
      <c r="U58" s="357"/>
      <c r="V58" s="357"/>
      <c r="W58" s="357"/>
      <c r="X58" s="357"/>
      <c r="Y58" s="355" t="s">
        <v>262</v>
      </c>
      <c r="Z58" s="357"/>
      <c r="AA58" s="357"/>
      <c r="AB58" s="357"/>
      <c r="AC58" s="357"/>
      <c r="AD58" s="357"/>
      <c r="AE58" s="357"/>
      <c r="AF58" s="357"/>
      <c r="AG58" s="450"/>
      <c r="AH58" s="42"/>
      <c r="AI58" s="42"/>
      <c r="AJ58" s="42"/>
      <c r="AK58" s="42"/>
      <c r="AL58" s="42"/>
      <c r="AM58" s="42"/>
      <c r="AN58" s="42"/>
      <c r="AO58" s="42"/>
      <c r="AP58" s="42"/>
      <c r="AQ58" s="42"/>
      <c r="AR58" s="42"/>
      <c r="AS58" s="42"/>
      <c r="AT58" s="42"/>
      <c r="AU58" s="42"/>
      <c r="AV58" s="42"/>
    </row>
    <row r="59" spans="1:48" s="280" customFormat="1" ht="54" customHeight="1">
      <c r="A59" s="359"/>
      <c r="B59" s="302"/>
      <c r="C59" s="1118"/>
      <c r="D59" s="1118"/>
      <c r="G59" s="280" t="s">
        <v>22</v>
      </c>
      <c r="I59" s="383"/>
      <c r="J59" s="384"/>
      <c r="K59" s="385"/>
      <c r="L59" s="385"/>
      <c r="M59" s="385"/>
      <c r="P59" s="360"/>
      <c r="Y59" s="360"/>
      <c r="AB59" s="1121" t="s">
        <v>266</v>
      </c>
      <c r="AC59" s="1121"/>
      <c r="AD59" s="1121"/>
      <c r="AE59" s="1121"/>
      <c r="AF59" s="476"/>
      <c r="AG59" s="451"/>
      <c r="AH59" s="42"/>
      <c r="AI59" s="42"/>
      <c r="AJ59" s="42"/>
      <c r="AK59" s="42"/>
      <c r="AL59" s="42"/>
      <c r="AM59" s="42"/>
      <c r="AN59" s="42"/>
      <c r="AO59" s="42"/>
      <c r="AP59" s="42"/>
      <c r="AQ59" s="42"/>
      <c r="AR59" s="42"/>
      <c r="AS59" s="42"/>
      <c r="AT59" s="42"/>
      <c r="AU59" s="42"/>
      <c r="AV59" s="42"/>
    </row>
    <row r="60" spans="1:48" s="280" customFormat="1" ht="54" customHeight="1">
      <c r="A60" s="359"/>
      <c r="B60" s="302"/>
      <c r="C60" s="1118"/>
      <c r="D60" s="1118"/>
      <c r="I60" s="360"/>
      <c r="P60" s="360"/>
      <c r="Y60" s="360"/>
      <c r="AG60" s="451"/>
      <c r="AH60" s="42"/>
      <c r="AI60" s="42"/>
      <c r="AJ60" s="42"/>
      <c r="AK60" s="42"/>
      <c r="AL60" s="42"/>
      <c r="AM60" s="42"/>
      <c r="AN60" s="42"/>
      <c r="AO60" s="42"/>
      <c r="AP60" s="42"/>
      <c r="AQ60" s="42"/>
      <c r="AR60" s="42"/>
      <c r="AS60" s="42"/>
      <c r="AT60" s="42"/>
      <c r="AU60" s="42"/>
      <c r="AV60" s="42"/>
    </row>
    <row r="61" spans="1:48" s="280" customFormat="1" ht="18">
      <c r="A61" s="359"/>
      <c r="B61" s="302"/>
      <c r="I61" s="360"/>
      <c r="P61" s="360"/>
      <c r="Y61" s="360"/>
      <c r="AG61" s="451"/>
      <c r="AH61" s="42"/>
      <c r="AI61" s="42"/>
      <c r="AJ61" s="42"/>
      <c r="AK61" s="42"/>
      <c r="AL61" s="42"/>
      <c r="AM61" s="42"/>
      <c r="AN61" s="42"/>
      <c r="AO61" s="42"/>
      <c r="AP61" s="42"/>
      <c r="AQ61" s="42"/>
      <c r="AR61" s="42"/>
      <c r="AS61" s="42"/>
      <c r="AT61" s="42"/>
      <c r="AU61" s="42"/>
      <c r="AV61" s="42"/>
    </row>
    <row r="62" spans="1:48" s="280" customFormat="1" ht="30">
      <c r="A62" s="360"/>
      <c r="B62" s="361"/>
      <c r="C62" s="1103" t="s">
        <v>42</v>
      </c>
      <c r="D62" s="1103"/>
      <c r="E62" s="1103"/>
      <c r="F62" s="1103"/>
      <c r="G62" s="1103"/>
      <c r="H62" s="361"/>
      <c r="I62" s="1104" t="s">
        <v>256</v>
      </c>
      <c r="J62" s="1105"/>
      <c r="K62" s="1105"/>
      <c r="L62" s="1105"/>
      <c r="M62" s="1105"/>
      <c r="N62" s="1105"/>
      <c r="O62" s="361"/>
      <c r="P62" s="360"/>
      <c r="Q62" s="1103" t="s">
        <v>687</v>
      </c>
      <c r="R62" s="1103"/>
      <c r="S62" s="1103"/>
      <c r="T62" s="1103"/>
      <c r="U62" s="1103"/>
      <c r="V62" s="1103"/>
      <c r="W62" s="1103"/>
      <c r="Y62" s="360"/>
      <c r="AB62" s="1106" t="s">
        <v>108</v>
      </c>
      <c r="AC62" s="1106"/>
      <c r="AD62" s="1106"/>
      <c r="AE62" s="1106"/>
      <c r="AF62" s="477"/>
      <c r="AG62" s="451"/>
      <c r="AH62" s="42"/>
      <c r="AI62" s="42"/>
      <c r="AJ62" s="42"/>
      <c r="AK62" s="42"/>
      <c r="AL62" s="42"/>
      <c r="AM62" s="42"/>
      <c r="AN62" s="42"/>
      <c r="AO62" s="42"/>
      <c r="AP62" s="42"/>
      <c r="AQ62" s="42"/>
      <c r="AR62" s="42"/>
      <c r="AS62" s="42"/>
      <c r="AT62" s="42"/>
      <c r="AU62" s="42"/>
      <c r="AV62" s="42"/>
    </row>
    <row r="63" spans="1:48" s="280" customFormat="1" ht="23.25" customHeight="1">
      <c r="A63" s="360"/>
      <c r="C63" s="1109" t="s">
        <v>261</v>
      </c>
      <c r="D63" s="1109"/>
      <c r="E63" s="1109"/>
      <c r="F63" s="1109"/>
      <c r="G63" s="1109"/>
      <c r="I63" s="1110" t="s">
        <v>267</v>
      </c>
      <c r="J63" s="1109"/>
      <c r="K63" s="1109"/>
      <c r="L63" s="1109"/>
      <c r="M63" s="1109"/>
      <c r="N63" s="1109"/>
      <c r="P63" s="360"/>
      <c r="Q63" s="1109" t="s">
        <v>682</v>
      </c>
      <c r="R63" s="1109"/>
      <c r="S63" s="1109"/>
      <c r="T63" s="1109"/>
      <c r="U63" s="1109"/>
      <c r="V63" s="1109"/>
      <c r="W63" s="1109"/>
      <c r="Y63" s="360"/>
      <c r="AB63" s="1109" t="s">
        <v>268</v>
      </c>
      <c r="AC63" s="1109"/>
      <c r="AD63" s="1109"/>
      <c r="AE63" s="1109"/>
      <c r="AG63" s="451"/>
      <c r="AH63" s="42"/>
      <c r="AI63" s="42"/>
      <c r="AJ63" s="42"/>
      <c r="AK63" s="42"/>
      <c r="AL63" s="42"/>
      <c r="AM63" s="42"/>
      <c r="AN63" s="42"/>
      <c r="AO63" s="42"/>
      <c r="AP63" s="42"/>
      <c r="AQ63" s="42"/>
      <c r="AR63" s="42"/>
      <c r="AS63" s="42"/>
      <c r="AT63" s="42"/>
      <c r="AU63" s="42"/>
      <c r="AV63" s="42"/>
    </row>
    <row r="64" spans="1:48" s="280" customFormat="1" ht="23.25" customHeight="1">
      <c r="A64" s="360"/>
      <c r="B64" s="302"/>
      <c r="C64" s="302"/>
      <c r="D64" s="302"/>
      <c r="I64" s="359"/>
      <c r="J64" s="302"/>
      <c r="K64" s="302"/>
      <c r="L64" s="302"/>
      <c r="M64" s="302"/>
      <c r="N64" s="302"/>
      <c r="P64" s="360"/>
      <c r="Q64" s="1111"/>
      <c r="R64" s="1111"/>
      <c r="S64" s="1111"/>
      <c r="T64" s="1111"/>
      <c r="U64" s="1111"/>
      <c r="V64" s="1111"/>
      <c r="W64" s="1111"/>
      <c r="Y64" s="360"/>
      <c r="Z64" s="302"/>
      <c r="AA64" s="302"/>
      <c r="AG64" s="451"/>
      <c r="AH64" s="42"/>
      <c r="AI64" s="42"/>
      <c r="AJ64" s="42"/>
      <c r="AK64" s="42"/>
      <c r="AL64" s="42"/>
      <c r="AM64" s="42"/>
      <c r="AN64" s="42"/>
      <c r="AO64" s="42"/>
      <c r="AP64" s="42"/>
      <c r="AQ64" s="42"/>
      <c r="AR64" s="42"/>
      <c r="AS64" s="42"/>
      <c r="AT64" s="42"/>
      <c r="AU64" s="42"/>
      <c r="AV64" s="42"/>
    </row>
    <row r="65" spans="1:48" s="280" customFormat="1" ht="23.25" customHeight="1">
      <c r="A65" s="362"/>
      <c r="B65" s="363"/>
      <c r="C65" s="363"/>
      <c r="D65" s="363"/>
      <c r="E65" s="363"/>
      <c r="F65" s="363"/>
      <c r="G65" s="363"/>
      <c r="H65" s="363"/>
      <c r="I65" s="362"/>
      <c r="J65" s="363"/>
      <c r="K65" s="363"/>
      <c r="L65" s="363"/>
      <c r="M65" s="363"/>
      <c r="N65" s="363"/>
      <c r="O65" s="363"/>
      <c r="P65" s="362"/>
      <c r="Q65" s="363"/>
      <c r="R65" s="363"/>
      <c r="S65" s="363"/>
      <c r="T65" s="363"/>
      <c r="U65" s="363"/>
      <c r="V65" s="363"/>
      <c r="W65" s="363"/>
      <c r="X65" s="363"/>
      <c r="Y65" s="362"/>
      <c r="Z65" s="363"/>
      <c r="AA65" s="363"/>
      <c r="AB65" s="363"/>
      <c r="AC65" s="363"/>
      <c r="AD65" s="363"/>
      <c r="AE65" s="363"/>
      <c r="AF65" s="363"/>
      <c r="AG65" s="452"/>
      <c r="AH65" s="42"/>
      <c r="AI65" s="42"/>
      <c r="AJ65" s="42"/>
      <c r="AK65" s="42"/>
      <c r="AL65" s="42"/>
      <c r="AM65" s="42"/>
      <c r="AN65" s="42"/>
      <c r="AO65" s="42"/>
      <c r="AP65" s="42"/>
      <c r="AQ65" s="42"/>
      <c r="AR65" s="42"/>
      <c r="AS65" s="42"/>
      <c r="AT65" s="42"/>
      <c r="AU65" s="42"/>
      <c r="AV65" s="42"/>
    </row>
    <row r="66" spans="1:48" s="280" customFormat="1" ht="18">
      <c r="AH66" s="42"/>
      <c r="AI66" s="42"/>
      <c r="AJ66" s="42"/>
      <c r="AK66" s="42"/>
      <c r="AL66" s="42"/>
      <c r="AM66" s="42"/>
      <c r="AN66" s="42"/>
      <c r="AO66" s="42"/>
      <c r="AP66" s="42"/>
      <c r="AQ66" s="42"/>
      <c r="AR66" s="42"/>
      <c r="AS66" s="42"/>
      <c r="AT66" s="42"/>
      <c r="AU66" s="42"/>
      <c r="AV66" s="42"/>
    </row>
    <row r="67" spans="1:48" s="280" customFormat="1" ht="23.25" customHeight="1">
      <c r="AH67" s="42"/>
      <c r="AI67" s="42"/>
      <c r="AJ67" s="42"/>
      <c r="AK67" s="42"/>
      <c r="AL67" s="42"/>
      <c r="AM67" s="42"/>
      <c r="AN67" s="42"/>
      <c r="AO67" s="42"/>
      <c r="AP67" s="42"/>
      <c r="AQ67" s="42"/>
      <c r="AR67" s="42"/>
      <c r="AS67" s="42"/>
      <c r="AT67" s="42"/>
      <c r="AU67" s="42"/>
      <c r="AV67" s="42"/>
    </row>
    <row r="68" spans="1:48" s="280" customFormat="1" ht="23.25" customHeight="1">
      <c r="AH68" s="42"/>
      <c r="AI68" s="42"/>
      <c r="AJ68" s="42"/>
      <c r="AK68" s="42"/>
      <c r="AL68" s="42"/>
      <c r="AM68" s="42"/>
      <c r="AN68" s="42"/>
      <c r="AO68" s="42"/>
      <c r="AP68" s="42"/>
      <c r="AQ68" s="42"/>
      <c r="AR68" s="42"/>
      <c r="AS68" s="42"/>
      <c r="AT68" s="42"/>
      <c r="AU68" s="42"/>
      <c r="AV68" s="42"/>
    </row>
    <row r="69" spans="1:48" s="280" customFormat="1" ht="23.25" customHeight="1">
      <c r="AH69" s="42"/>
      <c r="AI69" s="42"/>
      <c r="AJ69" s="42"/>
      <c r="AK69" s="42"/>
      <c r="AL69" s="42"/>
      <c r="AM69" s="42"/>
      <c r="AN69" s="42"/>
      <c r="AO69" s="42"/>
      <c r="AP69" s="42"/>
      <c r="AQ69" s="42"/>
      <c r="AR69" s="42"/>
      <c r="AS69" s="42"/>
      <c r="AT69" s="42"/>
      <c r="AU69" s="42"/>
      <c r="AV69" s="42"/>
    </row>
    <row r="70" spans="1:48" s="280" customFormat="1" ht="23.25" customHeight="1">
      <c r="AH70" s="42"/>
      <c r="AI70" s="42"/>
      <c r="AJ70" s="42"/>
      <c r="AK70" s="42"/>
      <c r="AL70" s="42"/>
      <c r="AM70" s="42"/>
      <c r="AN70" s="42"/>
      <c r="AO70" s="42"/>
      <c r="AP70" s="42"/>
      <c r="AQ70" s="42"/>
      <c r="AR70" s="42"/>
      <c r="AS70" s="42"/>
      <c r="AT70" s="42"/>
      <c r="AU70" s="42"/>
      <c r="AV70" s="42"/>
    </row>
  </sheetData>
  <mergeCells count="29">
    <mergeCell ref="A3:A8"/>
    <mergeCell ref="AE7:AE8"/>
    <mergeCell ref="AG3:AG8"/>
    <mergeCell ref="C58:D60"/>
    <mergeCell ref="A58:B58"/>
    <mergeCell ref="AB59:AE59"/>
    <mergeCell ref="G50:I50"/>
    <mergeCell ref="K50:P50"/>
    <mergeCell ref="G51:I51"/>
    <mergeCell ref="F6:G6"/>
    <mergeCell ref="R50:W50"/>
    <mergeCell ref="C63:G63"/>
    <mergeCell ref="I63:N63"/>
    <mergeCell ref="Q63:W63"/>
    <mergeCell ref="AB63:AE63"/>
    <mergeCell ref="Q64:W64"/>
    <mergeCell ref="C62:G62"/>
    <mergeCell ref="I62:N62"/>
    <mergeCell ref="Q62:W62"/>
    <mergeCell ref="AB62:AE62"/>
    <mergeCell ref="K53:M53"/>
    <mergeCell ref="D57:F57"/>
    <mergeCell ref="Q1:AA1"/>
    <mergeCell ref="N2:AA2"/>
    <mergeCell ref="F3:AD3"/>
    <mergeCell ref="F4:P4"/>
    <mergeCell ref="Q4:T4"/>
    <mergeCell ref="V4:W4"/>
    <mergeCell ref="AB4:AD4"/>
  </mergeCells>
  <pageMargins left="0.25" right="0.25" top="0.25" bottom="0.25" header="0.3" footer="0.3"/>
  <pageSetup paperSize="8" scale="37"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6:T130"/>
  <sheetViews>
    <sheetView topLeftCell="A4" workbookViewId="0">
      <selection activeCell="J16" sqref="J16"/>
    </sheetView>
  </sheetViews>
  <sheetFormatPr defaultColWidth="9" defaultRowHeight="13.2"/>
  <cols>
    <col min="1" max="1" width="2.77734375" customWidth="1"/>
    <col min="2" max="2" width="12.44140625" customWidth="1"/>
    <col min="3" max="3" width="13.33203125" customWidth="1"/>
    <col min="4" max="4" width="13" customWidth="1"/>
    <col min="5" max="5" width="5.109375" customWidth="1"/>
    <col min="6" max="6" width="10" customWidth="1"/>
    <col min="7" max="7" width="11.6640625" customWidth="1"/>
    <col min="8" max="8" width="12.77734375" customWidth="1"/>
    <col min="9" max="9" width="11.6640625" customWidth="1"/>
    <col min="10" max="10" width="11.44140625" customWidth="1"/>
    <col min="11" max="11" width="9.109375" customWidth="1"/>
    <col min="12" max="12" width="10.33203125" customWidth="1"/>
    <col min="13" max="13" width="10.109375" customWidth="1"/>
    <col min="14" max="15" width="11.44140625" customWidth="1"/>
    <col min="16" max="16" width="10.44140625" customWidth="1"/>
    <col min="17" max="17" width="11.44140625" customWidth="1"/>
    <col min="18" max="18" width="11.33203125" customWidth="1"/>
    <col min="19" max="19" width="10.44140625" customWidth="1"/>
    <col min="20" max="20" width="9.77734375" customWidth="1"/>
  </cols>
  <sheetData>
    <row r="6" spans="1:19">
      <c r="B6" s="49"/>
      <c r="C6" s="49"/>
      <c r="D6" s="49"/>
      <c r="E6" s="49"/>
      <c r="F6" s="49"/>
      <c r="G6" s="1130"/>
      <c r="H6" s="1130"/>
      <c r="I6" s="1130"/>
      <c r="J6" s="1130"/>
      <c r="K6" s="1130"/>
      <c r="L6" s="1130"/>
      <c r="M6" s="49"/>
      <c r="N6" s="49"/>
      <c r="O6" s="49"/>
      <c r="P6" s="49"/>
      <c r="Q6" s="49"/>
      <c r="R6" s="49"/>
      <c r="S6" s="49"/>
    </row>
    <row r="7" spans="1:19" ht="15.6">
      <c r="B7" s="49"/>
      <c r="C7" s="49"/>
      <c r="D7" s="49"/>
      <c r="E7" s="49"/>
      <c r="F7" s="49"/>
      <c r="G7" s="1131"/>
      <c r="H7" s="1131"/>
      <c r="I7" s="1131"/>
      <c r="J7" s="1131"/>
      <c r="K7" s="1131"/>
      <c r="L7" s="1131"/>
      <c r="M7" s="49"/>
      <c r="N7" s="49"/>
      <c r="O7" s="49"/>
      <c r="P7" s="49"/>
      <c r="Q7" s="49"/>
      <c r="R7" s="49"/>
      <c r="S7" s="49"/>
    </row>
    <row r="8" spans="1:19" ht="15.6">
      <c r="B8" s="49"/>
      <c r="C8" s="49"/>
      <c r="D8" s="49"/>
      <c r="E8" s="49"/>
      <c r="F8" s="49"/>
      <c r="G8" s="1132" t="s">
        <v>342</v>
      </c>
      <c r="H8" s="1132"/>
      <c r="I8" s="1132"/>
      <c r="J8" s="1132"/>
      <c r="K8" s="1132"/>
      <c r="L8" s="1132"/>
      <c r="M8" s="49"/>
      <c r="N8" s="49"/>
      <c r="O8" s="49"/>
      <c r="P8" s="49"/>
      <c r="Q8" s="49"/>
      <c r="R8" s="49"/>
      <c r="S8" s="49"/>
    </row>
    <row r="9" spans="1:19">
      <c r="B9" s="972"/>
      <c r="C9" s="972"/>
      <c r="D9" s="972"/>
      <c r="E9" s="972"/>
      <c r="F9" s="972"/>
      <c r="G9" s="972"/>
      <c r="H9" s="972"/>
      <c r="I9" s="972"/>
      <c r="J9" s="972"/>
      <c r="K9" s="972"/>
      <c r="L9" s="972"/>
      <c r="M9" s="972"/>
      <c r="N9" s="972"/>
      <c r="O9" s="972"/>
      <c r="P9" s="972"/>
      <c r="Q9" s="972"/>
      <c r="R9" s="972"/>
      <c r="S9" s="972"/>
    </row>
    <row r="10" spans="1:19">
      <c r="B10" s="1128" t="s">
        <v>635</v>
      </c>
      <c r="C10" s="1128"/>
      <c r="D10" s="1128"/>
      <c r="E10" s="1128"/>
      <c r="F10" s="1128"/>
      <c r="G10" s="1128"/>
      <c r="H10" s="1128"/>
      <c r="I10" s="1128"/>
      <c r="J10" s="1128"/>
      <c r="K10" s="1128"/>
      <c r="L10" s="1128"/>
      <c r="M10" s="1128"/>
      <c r="N10" s="1128"/>
      <c r="O10" s="1128"/>
      <c r="P10" s="1128"/>
      <c r="Q10" s="1128"/>
      <c r="R10" s="1128"/>
      <c r="S10" s="1128"/>
    </row>
    <row r="11" spans="1:19">
      <c r="B11" s="976" t="s">
        <v>705</v>
      </c>
      <c r="C11" s="1129"/>
      <c r="D11" s="1129"/>
      <c r="E11" s="1129"/>
      <c r="F11" s="1129"/>
      <c r="G11" s="1129"/>
      <c r="H11" s="1129"/>
      <c r="I11" s="1129"/>
      <c r="J11" s="1129"/>
      <c r="K11" s="1129"/>
      <c r="L11" s="1129"/>
      <c r="M11" s="1129"/>
      <c r="N11" s="1129"/>
      <c r="O11" s="1129"/>
      <c r="P11" s="1129"/>
      <c r="Q11" s="1129"/>
      <c r="R11" s="1129"/>
      <c r="S11" s="1129"/>
    </row>
    <row r="12" spans="1:19">
      <c r="B12" s="72"/>
      <c r="C12" s="72"/>
      <c r="D12" s="72"/>
      <c r="E12" s="72"/>
      <c r="F12" s="72"/>
      <c r="G12" s="72"/>
      <c r="H12" s="72"/>
      <c r="I12" s="72"/>
      <c r="J12" s="72"/>
      <c r="K12" s="72"/>
      <c r="L12" s="72"/>
      <c r="M12" s="72"/>
      <c r="N12" s="72"/>
      <c r="O12" s="72"/>
      <c r="P12" s="72"/>
      <c r="Q12" s="72"/>
      <c r="R12" s="72"/>
      <c r="S12" s="72"/>
    </row>
    <row r="13" spans="1:19">
      <c r="A13" s="41"/>
      <c r="B13" s="235"/>
      <c r="C13" s="84"/>
      <c r="D13" s="84"/>
      <c r="E13" s="84"/>
      <c r="F13" s="84"/>
      <c r="G13" s="84"/>
      <c r="H13" s="236"/>
      <c r="I13" s="1135" t="s">
        <v>542</v>
      </c>
      <c r="J13" s="1136"/>
      <c r="K13" s="235"/>
      <c r="L13" s="84"/>
      <c r="M13" s="84"/>
      <c r="N13" s="102"/>
      <c r="O13" s="84"/>
      <c r="P13" s="84"/>
      <c r="Q13" s="84"/>
      <c r="R13" s="84"/>
      <c r="S13" s="236"/>
    </row>
    <row r="14" spans="1:19">
      <c r="A14" s="237" t="s">
        <v>418</v>
      </c>
      <c r="B14" s="1126" t="s">
        <v>538</v>
      </c>
      <c r="C14" s="1126" t="s">
        <v>344</v>
      </c>
      <c r="D14" s="1126" t="s">
        <v>345</v>
      </c>
      <c r="E14" s="574" t="s">
        <v>108</v>
      </c>
      <c r="F14" s="1126" t="s">
        <v>540</v>
      </c>
      <c r="G14" s="575" t="s">
        <v>21</v>
      </c>
      <c r="H14" s="575" t="s">
        <v>541</v>
      </c>
      <c r="I14" s="576" t="s">
        <v>543</v>
      </c>
      <c r="J14" s="576"/>
      <c r="K14" s="576"/>
      <c r="L14" s="577"/>
      <c r="M14" s="578" t="s">
        <v>270</v>
      </c>
      <c r="N14" s="575" t="s">
        <v>546</v>
      </c>
      <c r="O14" s="574" t="s">
        <v>547</v>
      </c>
      <c r="P14" s="954" t="s">
        <v>118</v>
      </c>
      <c r="Q14" s="576"/>
      <c r="R14" s="576"/>
      <c r="S14" s="576"/>
    </row>
    <row r="15" spans="1:19">
      <c r="A15" s="238"/>
      <c r="B15" s="1127"/>
      <c r="C15" s="1127"/>
      <c r="D15" s="1127"/>
      <c r="E15" s="579" t="s">
        <v>539</v>
      </c>
      <c r="F15" s="1127"/>
      <c r="G15" s="580" t="s">
        <v>271</v>
      </c>
      <c r="H15" s="580" t="s">
        <v>19</v>
      </c>
      <c r="I15" s="580" t="s">
        <v>186</v>
      </c>
      <c r="J15" s="580" t="s">
        <v>272</v>
      </c>
      <c r="K15" s="580" t="s">
        <v>544</v>
      </c>
      <c r="L15" s="581" t="s">
        <v>545</v>
      </c>
      <c r="M15" s="582" t="s">
        <v>137</v>
      </c>
      <c r="N15" s="580" t="s">
        <v>137</v>
      </c>
      <c r="O15" s="583" t="s">
        <v>137</v>
      </c>
      <c r="P15" s="580" t="s">
        <v>137</v>
      </c>
      <c r="Q15" s="580" t="s">
        <v>136</v>
      </c>
      <c r="R15" s="580" t="s">
        <v>134</v>
      </c>
      <c r="S15" s="580" t="s">
        <v>135</v>
      </c>
    </row>
    <row r="16" spans="1:19">
      <c r="A16" s="31">
        <v>1</v>
      </c>
      <c r="B16" s="906" t="s">
        <v>274</v>
      </c>
      <c r="C16" s="239" t="s">
        <v>275</v>
      </c>
      <c r="D16" s="239" t="s">
        <v>348</v>
      </c>
      <c r="E16" s="240"/>
      <c r="F16" s="241">
        <v>25309</v>
      </c>
      <c r="G16" s="569" t="s">
        <v>553</v>
      </c>
      <c r="H16" s="242">
        <v>132280</v>
      </c>
      <c r="I16" s="242">
        <f>H16*0.09</f>
        <v>11905.199999999999</v>
      </c>
      <c r="J16" s="242">
        <f>H16*0.12</f>
        <v>15873.599999999999</v>
      </c>
      <c r="K16" s="242">
        <v>100</v>
      </c>
      <c r="L16" s="242"/>
      <c r="M16" s="242"/>
      <c r="N16" s="568"/>
      <c r="O16" s="242"/>
      <c r="P16" s="242"/>
      <c r="Q16" s="242"/>
      <c r="R16" s="242"/>
      <c r="S16" s="242"/>
    </row>
    <row r="17" spans="1:19">
      <c r="A17" s="31">
        <v>2</v>
      </c>
      <c r="B17" s="236" t="s">
        <v>276</v>
      </c>
      <c r="C17" s="239" t="s">
        <v>277</v>
      </c>
      <c r="D17" s="239" t="s">
        <v>548</v>
      </c>
      <c r="E17" s="240"/>
      <c r="F17" s="241">
        <v>27998</v>
      </c>
      <c r="G17" s="569" t="s">
        <v>554</v>
      </c>
      <c r="H17" s="242">
        <v>81564</v>
      </c>
      <c r="I17" s="242">
        <f t="shared" ref="I17:I39" si="0">H17*0.09</f>
        <v>7340.7599999999993</v>
      </c>
      <c r="J17" s="242">
        <f t="shared" ref="J17:J39" si="1">H17*0.12</f>
        <v>9787.68</v>
      </c>
      <c r="K17" s="242">
        <v>100</v>
      </c>
      <c r="L17" s="242"/>
      <c r="M17" s="242"/>
      <c r="N17" s="242"/>
      <c r="O17" s="242"/>
      <c r="P17" s="242"/>
      <c r="Q17" s="242">
        <v>9634.44</v>
      </c>
      <c r="R17" s="242">
        <v>12189.13</v>
      </c>
      <c r="S17" s="242">
        <v>2333.33</v>
      </c>
    </row>
    <row r="18" spans="1:19">
      <c r="A18" s="31">
        <v>3</v>
      </c>
      <c r="B18" s="243" t="s">
        <v>278</v>
      </c>
      <c r="C18" s="244" t="s">
        <v>279</v>
      </c>
      <c r="D18" s="244" t="s">
        <v>351</v>
      </c>
      <c r="E18" s="245"/>
      <c r="F18" s="246">
        <v>26680</v>
      </c>
      <c r="G18" s="569" t="s">
        <v>555</v>
      </c>
      <c r="H18" s="242">
        <v>78162</v>
      </c>
      <c r="I18" s="242">
        <f t="shared" si="0"/>
        <v>7034.58</v>
      </c>
      <c r="J18" s="242">
        <f t="shared" si="1"/>
        <v>9379.44</v>
      </c>
      <c r="K18" s="242">
        <v>100</v>
      </c>
      <c r="L18" s="242"/>
      <c r="M18" s="242"/>
      <c r="N18" s="242"/>
      <c r="O18" s="242"/>
      <c r="P18" s="242">
        <v>1966.67</v>
      </c>
      <c r="Q18" s="242">
        <v>9634.44</v>
      </c>
      <c r="R18" s="242">
        <v>12177.29</v>
      </c>
      <c r="S18" s="242">
        <v>2333.33</v>
      </c>
    </row>
    <row r="19" spans="1:19">
      <c r="A19" s="31">
        <v>4</v>
      </c>
      <c r="B19" s="236" t="s">
        <v>280</v>
      </c>
      <c r="C19" s="239" t="s">
        <v>281</v>
      </c>
      <c r="D19" s="239" t="s">
        <v>353</v>
      </c>
      <c r="E19" s="240"/>
      <c r="F19" s="241">
        <v>33118</v>
      </c>
      <c r="G19" s="569" t="s">
        <v>556</v>
      </c>
      <c r="H19" s="242">
        <v>41413</v>
      </c>
      <c r="I19" s="242">
        <f t="shared" si="0"/>
        <v>3727.17</v>
      </c>
      <c r="J19" s="242">
        <f t="shared" si="1"/>
        <v>4969.5599999999995</v>
      </c>
      <c r="K19" s="242">
        <v>100</v>
      </c>
      <c r="L19" s="242"/>
      <c r="M19" s="242">
        <v>300</v>
      </c>
      <c r="N19" s="242">
        <v>655.56</v>
      </c>
      <c r="O19" s="242"/>
      <c r="P19" s="242">
        <v>1966.67</v>
      </c>
      <c r="Q19" s="242"/>
      <c r="R19" s="242">
        <v>4408.8999999999996</v>
      </c>
      <c r="S19" s="242">
        <v>2333.33</v>
      </c>
    </row>
    <row r="20" spans="1:19">
      <c r="A20" s="31">
        <v>5</v>
      </c>
      <c r="B20" s="236" t="s">
        <v>282</v>
      </c>
      <c r="C20" s="239" t="s">
        <v>283</v>
      </c>
      <c r="D20" s="239" t="s">
        <v>326</v>
      </c>
      <c r="E20" s="247"/>
      <c r="F20" s="241">
        <v>23889</v>
      </c>
      <c r="G20" s="569" t="s">
        <v>557</v>
      </c>
      <c r="H20" s="242">
        <v>51304</v>
      </c>
      <c r="I20" s="242">
        <f t="shared" si="0"/>
        <v>4617.3599999999997</v>
      </c>
      <c r="J20" s="242">
        <f t="shared" si="1"/>
        <v>6156.48</v>
      </c>
      <c r="K20" s="242">
        <v>100</v>
      </c>
      <c r="L20" s="242"/>
      <c r="M20" s="242">
        <v>200</v>
      </c>
      <c r="N20" s="242"/>
      <c r="O20" s="242"/>
      <c r="P20" s="242">
        <v>1966.67</v>
      </c>
      <c r="Q20" s="242">
        <v>9634.44</v>
      </c>
      <c r="R20" s="242">
        <v>7992.93</v>
      </c>
      <c r="S20" s="242">
        <v>2333.33</v>
      </c>
    </row>
    <row r="21" spans="1:19">
      <c r="A21" s="31">
        <v>6</v>
      </c>
      <c r="B21" s="236" t="s">
        <v>285</v>
      </c>
      <c r="C21" s="239" t="s">
        <v>286</v>
      </c>
      <c r="D21" s="239" t="s">
        <v>356</v>
      </c>
      <c r="E21" s="247"/>
      <c r="F21" s="241">
        <v>26324</v>
      </c>
      <c r="G21" s="569" t="s">
        <v>558</v>
      </c>
      <c r="H21" s="242">
        <v>38118</v>
      </c>
      <c r="I21" s="242">
        <f t="shared" si="0"/>
        <v>3430.62</v>
      </c>
      <c r="J21" s="242">
        <f t="shared" si="1"/>
        <v>4574.16</v>
      </c>
      <c r="K21" s="242">
        <v>100</v>
      </c>
      <c r="L21" s="242"/>
      <c r="M21" s="242">
        <v>200</v>
      </c>
      <c r="N21" s="242">
        <v>1311.12</v>
      </c>
      <c r="O21" s="242"/>
      <c r="P21" s="242"/>
      <c r="Q21" s="242"/>
      <c r="R21" s="242">
        <v>6298.92</v>
      </c>
      <c r="S21" s="242"/>
    </row>
    <row r="22" spans="1:19">
      <c r="A22" s="31">
        <v>7</v>
      </c>
      <c r="B22" s="243" t="s">
        <v>287</v>
      </c>
      <c r="C22" s="244" t="s">
        <v>288</v>
      </c>
      <c r="D22" s="244" t="s">
        <v>358</v>
      </c>
      <c r="E22" s="245"/>
      <c r="F22" s="241">
        <v>28404</v>
      </c>
      <c r="G22" s="569" t="s">
        <v>559</v>
      </c>
      <c r="H22" s="242">
        <v>41006</v>
      </c>
      <c r="I22" s="242">
        <f t="shared" si="0"/>
        <v>3690.54</v>
      </c>
      <c r="J22" s="242">
        <f t="shared" si="1"/>
        <v>4920.72</v>
      </c>
      <c r="K22" s="242">
        <v>100</v>
      </c>
      <c r="L22" s="242"/>
      <c r="M22" s="242"/>
      <c r="N22" s="242"/>
      <c r="O22" s="242"/>
      <c r="P22" s="242">
        <v>1966.67</v>
      </c>
      <c r="Q22" s="242"/>
      <c r="R22" s="242">
        <v>6109.05</v>
      </c>
      <c r="S22" s="242">
        <v>1866.67</v>
      </c>
    </row>
    <row r="23" spans="1:19">
      <c r="A23" s="31">
        <v>8</v>
      </c>
      <c r="B23" s="243" t="s">
        <v>289</v>
      </c>
      <c r="C23" s="907" t="s">
        <v>290</v>
      </c>
      <c r="D23" s="244" t="s">
        <v>360</v>
      </c>
      <c r="E23" s="245"/>
      <c r="F23" s="246">
        <v>25553</v>
      </c>
      <c r="G23" s="569" t="s">
        <v>560</v>
      </c>
      <c r="H23" s="242">
        <v>17209</v>
      </c>
      <c r="I23" s="242">
        <f t="shared" si="0"/>
        <v>1548.81</v>
      </c>
      <c r="J23" s="242">
        <f t="shared" si="1"/>
        <v>2065.08</v>
      </c>
      <c r="K23" s="242">
        <v>100</v>
      </c>
      <c r="L23" s="242"/>
      <c r="M23" s="242"/>
      <c r="N23" s="242"/>
      <c r="O23" s="242"/>
      <c r="P23" s="242">
        <v>1966.67</v>
      </c>
      <c r="Q23" s="242">
        <v>5603.77</v>
      </c>
      <c r="R23" s="242">
        <v>2236.7600000000002</v>
      </c>
      <c r="S23" s="242"/>
    </row>
    <row r="24" spans="1:19">
      <c r="A24" s="31">
        <v>9</v>
      </c>
      <c r="B24" s="570" t="s">
        <v>561</v>
      </c>
      <c r="C24" s="244" t="s">
        <v>291</v>
      </c>
      <c r="D24" s="244" t="s">
        <v>362</v>
      </c>
      <c r="E24" s="245" t="s">
        <v>549</v>
      </c>
      <c r="F24" s="246">
        <v>26265</v>
      </c>
      <c r="G24" s="569" t="s">
        <v>562</v>
      </c>
      <c r="H24" s="242">
        <v>18133</v>
      </c>
      <c r="I24" s="242">
        <f t="shared" si="0"/>
        <v>1631.97</v>
      </c>
      <c r="J24" s="242">
        <f t="shared" si="1"/>
        <v>2175.96</v>
      </c>
      <c r="K24" s="242">
        <v>100</v>
      </c>
      <c r="L24" s="242"/>
      <c r="M24" s="242"/>
      <c r="N24" s="242"/>
      <c r="O24" s="242"/>
      <c r="P24" s="242"/>
      <c r="Q24" s="242"/>
      <c r="R24" s="242">
        <v>2848.19</v>
      </c>
      <c r="S24" s="242"/>
    </row>
    <row r="25" spans="1:19">
      <c r="A25" s="31">
        <v>10</v>
      </c>
      <c r="B25" s="243" t="s">
        <v>292</v>
      </c>
      <c r="C25" s="244" t="s">
        <v>293</v>
      </c>
      <c r="D25" s="244" t="s">
        <v>364</v>
      </c>
      <c r="E25" s="245"/>
      <c r="F25" s="246">
        <v>28312</v>
      </c>
      <c r="G25" s="569" t="s">
        <v>563</v>
      </c>
      <c r="H25" s="242">
        <v>16088</v>
      </c>
      <c r="I25" s="242">
        <f t="shared" si="0"/>
        <v>1447.9199999999998</v>
      </c>
      <c r="J25" s="242">
        <f t="shared" si="1"/>
        <v>1930.56</v>
      </c>
      <c r="K25" s="242">
        <v>100</v>
      </c>
      <c r="L25" s="242"/>
      <c r="M25" s="242">
        <v>100</v>
      </c>
      <c r="N25" s="242">
        <v>655.56</v>
      </c>
      <c r="O25" s="242"/>
      <c r="P25" s="242">
        <v>1966.67</v>
      </c>
      <c r="Q25" s="242"/>
      <c r="R25" s="242">
        <v>2074.66</v>
      </c>
      <c r="S25" s="242"/>
    </row>
    <row r="26" spans="1:19">
      <c r="A26" s="31">
        <v>11</v>
      </c>
      <c r="B26" s="243" t="s">
        <v>294</v>
      </c>
      <c r="C26" s="244" t="s">
        <v>295</v>
      </c>
      <c r="D26" s="244" t="s">
        <v>366</v>
      </c>
      <c r="E26" s="245"/>
      <c r="F26" s="571">
        <v>35129</v>
      </c>
      <c r="G26" s="569" t="s">
        <v>564</v>
      </c>
      <c r="H26" s="242">
        <v>25996</v>
      </c>
      <c r="I26" s="242">
        <f t="shared" si="0"/>
        <v>2339.64</v>
      </c>
      <c r="J26" s="242">
        <f t="shared" si="1"/>
        <v>3119.52</v>
      </c>
      <c r="K26" s="242">
        <v>100</v>
      </c>
      <c r="L26" s="242"/>
      <c r="M26" s="242">
        <v>200</v>
      </c>
      <c r="N26" s="242"/>
      <c r="O26" s="242"/>
      <c r="P26" s="242"/>
      <c r="Q26" s="242"/>
      <c r="R26" s="242">
        <v>3467.78</v>
      </c>
      <c r="S26" s="242">
        <v>1816.67</v>
      </c>
    </row>
    <row r="27" spans="1:19">
      <c r="A27" s="31">
        <v>12</v>
      </c>
      <c r="B27" s="244" t="s">
        <v>296</v>
      </c>
      <c r="C27" s="244" t="s">
        <v>297</v>
      </c>
      <c r="D27" s="244" t="s">
        <v>550</v>
      </c>
      <c r="E27" s="244"/>
      <c r="F27" s="241">
        <v>24970</v>
      </c>
      <c r="G27" s="569" t="s">
        <v>565</v>
      </c>
      <c r="H27" s="242">
        <v>20408</v>
      </c>
      <c r="I27" s="242">
        <f t="shared" si="0"/>
        <v>1836.72</v>
      </c>
      <c r="J27" s="242">
        <f t="shared" si="1"/>
        <v>2448.96</v>
      </c>
      <c r="K27" s="242">
        <v>100</v>
      </c>
      <c r="L27" s="242"/>
      <c r="M27" s="242">
        <v>200</v>
      </c>
      <c r="N27" s="242">
        <v>655.56</v>
      </c>
      <c r="O27" s="242"/>
      <c r="P27" s="242">
        <v>1966.67</v>
      </c>
      <c r="Q27" s="242"/>
      <c r="R27" s="242">
        <v>2631.62</v>
      </c>
      <c r="S27" s="242"/>
    </row>
    <row r="28" spans="1:19">
      <c r="A28" s="31">
        <v>13</v>
      </c>
      <c r="B28" s="931" t="s">
        <v>298</v>
      </c>
      <c r="C28" s="730" t="s">
        <v>299</v>
      </c>
      <c r="D28" s="730" t="s">
        <v>369</v>
      </c>
      <c r="E28" s="730"/>
      <c r="F28" s="731">
        <v>28367</v>
      </c>
      <c r="G28" s="733" t="s">
        <v>693</v>
      </c>
      <c r="H28" s="732">
        <v>52367</v>
      </c>
      <c r="I28" s="732">
        <f t="shared" si="0"/>
        <v>4713.03</v>
      </c>
      <c r="J28" s="732">
        <f t="shared" si="1"/>
        <v>6284.04</v>
      </c>
      <c r="K28" s="732">
        <v>100</v>
      </c>
      <c r="L28" s="732"/>
      <c r="M28" s="732"/>
      <c r="N28" s="953">
        <v>1138.73</v>
      </c>
      <c r="O28" s="953">
        <v>1533.5</v>
      </c>
      <c r="P28" s="953"/>
      <c r="Q28" s="953">
        <v>9634.44</v>
      </c>
      <c r="R28" s="953">
        <v>7801.77</v>
      </c>
      <c r="S28" s="953">
        <v>2333.33</v>
      </c>
    </row>
    <row r="29" spans="1:19">
      <c r="A29" s="31">
        <v>14</v>
      </c>
      <c r="B29" s="236" t="s">
        <v>300</v>
      </c>
      <c r="C29" s="239" t="s">
        <v>301</v>
      </c>
      <c r="D29" s="239" t="s">
        <v>366</v>
      </c>
      <c r="E29" s="240"/>
      <c r="F29" s="241">
        <v>22487</v>
      </c>
      <c r="G29" s="569" t="s">
        <v>566</v>
      </c>
      <c r="H29" s="242">
        <v>43090</v>
      </c>
      <c r="I29" s="242">
        <f t="shared" si="0"/>
        <v>3878.1</v>
      </c>
      <c r="J29" s="242">
        <f t="shared" si="1"/>
        <v>5170.8</v>
      </c>
      <c r="K29" s="242">
        <v>100</v>
      </c>
      <c r="L29" s="242"/>
      <c r="M29" s="242">
        <v>500</v>
      </c>
      <c r="N29" s="242"/>
      <c r="O29" s="242"/>
      <c r="P29" s="242"/>
      <c r="Q29" s="242">
        <v>9634.44</v>
      </c>
      <c r="R29" s="242">
        <v>6433.73</v>
      </c>
      <c r="S29" s="242"/>
    </row>
    <row r="30" spans="1:19">
      <c r="A30" s="31">
        <v>15</v>
      </c>
      <c r="B30" s="243" t="s">
        <v>302</v>
      </c>
      <c r="C30" s="244" t="s">
        <v>303</v>
      </c>
      <c r="D30" s="244" t="s">
        <v>371</v>
      </c>
      <c r="E30" s="245"/>
      <c r="F30" s="241">
        <v>30185</v>
      </c>
      <c r="G30" s="569" t="s">
        <v>567</v>
      </c>
      <c r="H30" s="242">
        <v>51304</v>
      </c>
      <c r="I30" s="242">
        <f t="shared" si="0"/>
        <v>4617.3599999999997</v>
      </c>
      <c r="J30" s="242">
        <f t="shared" si="1"/>
        <v>6156.48</v>
      </c>
      <c r="K30" s="242">
        <v>100</v>
      </c>
      <c r="L30" s="242"/>
      <c r="M30" s="242">
        <v>100</v>
      </c>
      <c r="N30" s="242"/>
      <c r="O30" s="242"/>
      <c r="P30" s="242"/>
      <c r="Q30" s="242">
        <v>9634.44</v>
      </c>
      <c r="R30" s="242"/>
      <c r="S30" s="242"/>
    </row>
    <row r="31" spans="1:19">
      <c r="A31" s="31">
        <v>16</v>
      </c>
      <c r="B31" s="236" t="s">
        <v>304</v>
      </c>
      <c r="C31" s="239" t="s">
        <v>305</v>
      </c>
      <c r="D31" s="239" t="s">
        <v>296</v>
      </c>
      <c r="E31" s="240"/>
      <c r="F31" s="241">
        <v>34606</v>
      </c>
      <c r="G31" s="569" t="s">
        <v>568</v>
      </c>
      <c r="H31" s="242">
        <v>37024</v>
      </c>
      <c r="I31" s="242">
        <f t="shared" si="0"/>
        <v>3332.16</v>
      </c>
      <c r="J31" s="242">
        <f t="shared" si="1"/>
        <v>4442.88</v>
      </c>
      <c r="K31" s="242">
        <v>100</v>
      </c>
      <c r="L31" s="242"/>
      <c r="M31" s="242"/>
      <c r="N31" s="242"/>
      <c r="O31" s="242"/>
      <c r="P31" s="242">
        <v>1966.67</v>
      </c>
      <c r="Q31" s="242"/>
      <c r="R31" s="242"/>
      <c r="S31" s="242"/>
    </row>
    <row r="32" spans="1:19">
      <c r="A32" s="31">
        <v>17</v>
      </c>
      <c r="B32" s="244" t="s">
        <v>306</v>
      </c>
      <c r="C32" s="244" t="s">
        <v>307</v>
      </c>
      <c r="D32" s="244" t="s">
        <v>551</v>
      </c>
      <c r="E32" s="244"/>
      <c r="F32" s="571">
        <v>35890</v>
      </c>
      <c r="G32" s="569" t="s">
        <v>569</v>
      </c>
      <c r="H32" s="242">
        <v>25996</v>
      </c>
      <c r="I32" s="242">
        <f t="shared" si="0"/>
        <v>2339.64</v>
      </c>
      <c r="J32" s="242">
        <f t="shared" si="1"/>
        <v>3119.52</v>
      </c>
      <c r="K32" s="242">
        <v>100</v>
      </c>
      <c r="L32" s="242"/>
      <c r="M32" s="242"/>
      <c r="N32" s="242"/>
      <c r="O32" s="242"/>
      <c r="P32" s="242"/>
      <c r="Q32" s="242"/>
      <c r="R32" s="242"/>
      <c r="S32" s="242"/>
    </row>
    <row r="33" spans="1:19">
      <c r="A33" s="31">
        <v>18</v>
      </c>
      <c r="B33" s="236" t="s">
        <v>308</v>
      </c>
      <c r="C33" s="239" t="s">
        <v>309</v>
      </c>
      <c r="D33" s="239" t="s">
        <v>377</v>
      </c>
      <c r="E33" s="240"/>
      <c r="F33" s="241">
        <v>22351</v>
      </c>
      <c r="G33" s="569" t="s">
        <v>570</v>
      </c>
      <c r="H33" s="242">
        <v>52367</v>
      </c>
      <c r="I33" s="242">
        <f t="shared" si="0"/>
        <v>4713.03</v>
      </c>
      <c r="J33" s="242">
        <f t="shared" si="1"/>
        <v>6284.04</v>
      </c>
      <c r="K33" s="242">
        <v>100</v>
      </c>
      <c r="L33" s="242"/>
      <c r="M33" s="242"/>
      <c r="N33" s="242"/>
      <c r="O33" s="242"/>
      <c r="P33" s="242"/>
      <c r="Q33" s="242"/>
      <c r="R33" s="242"/>
      <c r="S33" s="242"/>
    </row>
    <row r="34" spans="1:19">
      <c r="A34" s="31">
        <v>19</v>
      </c>
      <c r="B34" s="236" t="s">
        <v>310</v>
      </c>
      <c r="C34" s="239" t="s">
        <v>311</v>
      </c>
      <c r="D34" s="239" t="s">
        <v>379</v>
      </c>
      <c r="E34" s="240"/>
      <c r="F34" s="241">
        <v>29908</v>
      </c>
      <c r="G34" s="569" t="s">
        <v>571</v>
      </c>
      <c r="H34" s="242">
        <v>41413</v>
      </c>
      <c r="I34" s="242">
        <f t="shared" si="0"/>
        <v>3727.17</v>
      </c>
      <c r="J34" s="242">
        <f t="shared" si="1"/>
        <v>4969.5599999999995</v>
      </c>
      <c r="K34" s="242">
        <v>100</v>
      </c>
      <c r="L34" s="242"/>
      <c r="M34" s="242"/>
      <c r="N34" s="242"/>
      <c r="O34" s="242"/>
      <c r="P34" s="242"/>
      <c r="Q34" s="242">
        <v>9634.44</v>
      </c>
      <c r="R34" s="242">
        <v>4408.8999999999996</v>
      </c>
      <c r="S34" s="242">
        <v>2333.33</v>
      </c>
    </row>
    <row r="35" spans="1:19">
      <c r="A35" s="31">
        <v>20</v>
      </c>
      <c r="B35" s="239" t="s">
        <v>312</v>
      </c>
      <c r="C35" s="239" t="s">
        <v>313</v>
      </c>
      <c r="D35" s="239" t="s">
        <v>381</v>
      </c>
      <c r="E35" s="240"/>
      <c r="F35" s="241">
        <v>27392</v>
      </c>
      <c r="G35" s="569" t="s">
        <v>572</v>
      </c>
      <c r="H35" s="242">
        <v>42241</v>
      </c>
      <c r="I35" s="242">
        <f t="shared" si="0"/>
        <v>3801.69</v>
      </c>
      <c r="J35" s="242">
        <f t="shared" si="1"/>
        <v>5068.92</v>
      </c>
      <c r="K35" s="242">
        <v>100</v>
      </c>
      <c r="L35" s="242"/>
      <c r="M35" s="242"/>
      <c r="N35" s="242"/>
      <c r="O35" s="242"/>
      <c r="P35" s="242"/>
      <c r="Q35" s="242">
        <v>9634.44</v>
      </c>
      <c r="R35" s="242">
        <v>7823.43</v>
      </c>
      <c r="S35" s="242"/>
    </row>
    <row r="36" spans="1:19">
      <c r="A36" s="31">
        <v>21</v>
      </c>
      <c r="B36" s="239" t="s">
        <v>314</v>
      </c>
      <c r="C36" s="239" t="s">
        <v>315</v>
      </c>
      <c r="D36" s="239" t="s">
        <v>383</v>
      </c>
      <c r="E36" s="240"/>
      <c r="F36" s="241">
        <v>29471</v>
      </c>
      <c r="G36" s="569" t="s">
        <v>573</v>
      </c>
      <c r="H36" s="242">
        <v>41006</v>
      </c>
      <c r="I36" s="242">
        <f t="shared" si="0"/>
        <v>3690.54</v>
      </c>
      <c r="J36" s="242">
        <f t="shared" si="1"/>
        <v>4920.72</v>
      </c>
      <c r="K36" s="242">
        <v>100</v>
      </c>
      <c r="L36" s="242"/>
      <c r="M36" s="242">
        <v>400</v>
      </c>
      <c r="N36" s="242">
        <v>972.28</v>
      </c>
      <c r="O36" s="242"/>
      <c r="P36" s="242">
        <v>1966.67</v>
      </c>
      <c r="Q36" s="242">
        <v>9634.44</v>
      </c>
      <c r="R36" s="242">
        <v>4846.0200000000004</v>
      </c>
      <c r="S36" s="242">
        <v>2333.33</v>
      </c>
    </row>
    <row r="37" spans="1:19">
      <c r="A37" s="31">
        <v>22</v>
      </c>
      <c r="B37" s="236" t="s">
        <v>316</v>
      </c>
      <c r="C37" s="239" t="s">
        <v>317</v>
      </c>
      <c r="D37" s="239" t="s">
        <v>385</v>
      </c>
      <c r="E37" s="240"/>
      <c r="F37" s="241">
        <v>25794</v>
      </c>
      <c r="G37" s="569" t="s">
        <v>574</v>
      </c>
      <c r="H37" s="242">
        <v>41006</v>
      </c>
      <c r="I37" s="242">
        <f t="shared" si="0"/>
        <v>3690.54</v>
      </c>
      <c r="J37" s="242">
        <f t="shared" si="1"/>
        <v>4920.72</v>
      </c>
      <c r="K37" s="242">
        <v>100</v>
      </c>
      <c r="L37" s="242"/>
      <c r="M37" s="242">
        <v>300</v>
      </c>
      <c r="N37" s="242"/>
      <c r="O37" s="242"/>
      <c r="P37" s="242"/>
      <c r="Q37" s="242"/>
      <c r="R37" s="242">
        <v>4363.6099999999997</v>
      </c>
      <c r="S37" s="242">
        <v>2333.33</v>
      </c>
    </row>
    <row r="38" spans="1:19">
      <c r="A38" s="31">
        <v>23</v>
      </c>
      <c r="B38" s="244" t="s">
        <v>318</v>
      </c>
      <c r="C38" s="244" t="s">
        <v>319</v>
      </c>
      <c r="D38" s="244" t="s">
        <v>387</v>
      </c>
      <c r="E38" s="244"/>
      <c r="F38" s="241">
        <v>28448</v>
      </c>
      <c r="G38" s="569" t="s">
        <v>575</v>
      </c>
      <c r="H38" s="242">
        <v>41006</v>
      </c>
      <c r="I38" s="242">
        <f t="shared" si="0"/>
        <v>3690.54</v>
      </c>
      <c r="J38" s="242">
        <f t="shared" si="1"/>
        <v>4920.72</v>
      </c>
      <c r="K38" s="242">
        <v>100</v>
      </c>
      <c r="L38" s="242"/>
      <c r="M38" s="242"/>
      <c r="N38" s="242"/>
      <c r="O38" s="242"/>
      <c r="P38" s="242"/>
      <c r="Q38" s="242"/>
      <c r="R38" s="242"/>
      <c r="S38" s="242"/>
    </row>
    <row r="39" spans="1:19">
      <c r="A39" s="31">
        <v>24</v>
      </c>
      <c r="B39" s="244" t="s">
        <v>320</v>
      </c>
      <c r="C39" s="244" t="s">
        <v>321</v>
      </c>
      <c r="D39" s="601" t="s">
        <v>389</v>
      </c>
      <c r="E39" s="244"/>
      <c r="F39" s="241">
        <v>33010</v>
      </c>
      <c r="G39" s="569" t="s">
        <v>576</v>
      </c>
      <c r="H39" s="242">
        <v>41006</v>
      </c>
      <c r="I39" s="242">
        <f t="shared" si="0"/>
        <v>3690.54</v>
      </c>
      <c r="J39" s="242">
        <f t="shared" si="1"/>
        <v>4920.72</v>
      </c>
      <c r="K39" s="242">
        <v>100</v>
      </c>
      <c r="L39" s="242"/>
      <c r="M39" s="242">
        <v>100</v>
      </c>
      <c r="N39" s="242"/>
      <c r="O39" s="242"/>
      <c r="P39" s="242">
        <v>1966.67</v>
      </c>
      <c r="Q39" s="242">
        <v>2272.3000000000002</v>
      </c>
      <c r="R39" s="242">
        <v>4563.25</v>
      </c>
      <c r="S39" s="242">
        <v>2333.33</v>
      </c>
    </row>
    <row r="40" spans="1:19">
      <c r="A40" s="28"/>
      <c r="B40" s="248" t="s">
        <v>322</v>
      </c>
      <c r="C40" s="249"/>
      <c r="D40" s="239"/>
      <c r="E40" s="239"/>
      <c r="F40" s="239"/>
      <c r="G40" s="239"/>
      <c r="H40" s="250">
        <f t="shared" ref="H40:S40" si="2">SUM(H16:H39)</f>
        <v>1071507</v>
      </c>
      <c r="I40" s="250">
        <f t="shared" si="2"/>
        <v>96435.629999999976</v>
      </c>
      <c r="J40" s="250">
        <f t="shared" si="2"/>
        <v>128580.84</v>
      </c>
      <c r="K40" s="250">
        <f t="shared" si="2"/>
        <v>2400</v>
      </c>
      <c r="L40" s="250">
        <f t="shared" si="2"/>
        <v>0</v>
      </c>
      <c r="M40" s="250">
        <f t="shared" si="2"/>
        <v>2600</v>
      </c>
      <c r="N40" s="250">
        <f t="shared" si="2"/>
        <v>5388.8099999999995</v>
      </c>
      <c r="O40" s="250">
        <f t="shared" si="2"/>
        <v>1533.5</v>
      </c>
      <c r="P40" s="250">
        <f t="shared" si="2"/>
        <v>19666.699999999997</v>
      </c>
      <c r="Q40" s="250">
        <f t="shared" si="2"/>
        <v>94586.030000000013</v>
      </c>
      <c r="R40" s="250">
        <f t="shared" si="2"/>
        <v>102675.94</v>
      </c>
      <c r="S40" s="250">
        <f t="shared" si="2"/>
        <v>24683.310000000005</v>
      </c>
    </row>
    <row r="41" spans="1:19">
      <c r="B41" s="77"/>
      <c r="C41" s="77"/>
      <c r="D41" s="72"/>
      <c r="E41" s="72"/>
      <c r="F41" s="72"/>
      <c r="G41" s="72"/>
      <c r="H41" s="80"/>
      <c r="I41" s="80"/>
      <c r="J41" s="80"/>
      <c r="K41" s="80"/>
      <c r="L41" s="80"/>
      <c r="M41" s="80"/>
      <c r="N41" s="80"/>
      <c r="O41" s="80"/>
      <c r="P41" s="80"/>
      <c r="Q41" s="80"/>
      <c r="R41" s="80"/>
      <c r="S41" s="80"/>
    </row>
    <row r="42" spans="1:19">
      <c r="B42" s="77"/>
      <c r="C42" s="595"/>
      <c r="D42" s="72"/>
      <c r="E42" s="72"/>
      <c r="F42" s="72"/>
      <c r="G42" s="72"/>
      <c r="H42" s="80"/>
      <c r="I42" s="80"/>
      <c r="J42" s="80"/>
      <c r="K42" s="598"/>
      <c r="L42" s="80"/>
      <c r="M42" s="80"/>
      <c r="N42" s="80"/>
      <c r="O42" s="80"/>
      <c r="P42" s="80"/>
      <c r="Q42" s="80"/>
      <c r="R42" s="80"/>
      <c r="S42" s="80"/>
    </row>
    <row r="43" spans="1:19">
      <c r="B43" s="77"/>
      <c r="C43" s="77"/>
      <c r="D43" s="72"/>
      <c r="E43" s="72"/>
      <c r="F43" s="72"/>
      <c r="G43" s="72"/>
      <c r="H43" s="80"/>
      <c r="I43" s="80"/>
      <c r="J43" s="80"/>
      <c r="K43" s="80"/>
      <c r="L43" s="80"/>
      <c r="M43" s="80"/>
      <c r="N43" s="80"/>
      <c r="O43" s="80"/>
      <c r="P43" s="80"/>
      <c r="Q43" s="80"/>
      <c r="R43" s="80"/>
      <c r="S43" s="80"/>
    </row>
    <row r="44" spans="1:19" ht="15.6">
      <c r="B44" s="77"/>
      <c r="C44" s="596"/>
      <c r="D44" s="597"/>
      <c r="E44" s="72"/>
      <c r="F44" s="72"/>
      <c r="G44" s="72"/>
      <c r="H44" s="80"/>
      <c r="I44" s="80"/>
      <c r="J44" s="80"/>
      <c r="K44" s="593"/>
      <c r="L44" s="593"/>
      <c r="M44" s="593"/>
      <c r="N44" s="80"/>
      <c r="O44" s="80"/>
      <c r="P44" s="80"/>
      <c r="Q44" s="80"/>
      <c r="R44" s="80"/>
      <c r="S44" s="80"/>
    </row>
    <row r="45" spans="1:19" ht="15.6">
      <c r="B45" s="77"/>
      <c r="C45" s="597"/>
      <c r="D45" s="597"/>
      <c r="E45" s="72"/>
      <c r="F45" s="72"/>
      <c r="G45" s="72"/>
      <c r="H45" s="80"/>
      <c r="I45" s="80"/>
      <c r="J45" s="80"/>
      <c r="K45" s="594"/>
      <c r="L45" s="593"/>
      <c r="M45" s="593"/>
      <c r="N45" s="80"/>
      <c r="O45" s="80"/>
      <c r="P45" s="80"/>
      <c r="Q45" s="80"/>
      <c r="R45" s="80"/>
      <c r="S45" s="80"/>
    </row>
    <row r="46" spans="1:19">
      <c r="B46" s="77"/>
      <c r="C46" s="77"/>
      <c r="D46" s="72"/>
      <c r="E46" s="72"/>
      <c r="F46" s="72"/>
      <c r="G46" s="72"/>
      <c r="H46" s="80"/>
      <c r="I46" s="80"/>
      <c r="J46" s="80"/>
      <c r="K46" s="80"/>
      <c r="L46" s="80"/>
      <c r="M46" s="80"/>
      <c r="N46" s="80"/>
      <c r="O46" s="80"/>
      <c r="P46" s="80"/>
      <c r="Q46" s="80"/>
      <c r="R46" s="80"/>
      <c r="S46" s="80"/>
    </row>
    <row r="47" spans="1:19" ht="30" customHeight="1">
      <c r="B47" s="77"/>
      <c r="C47" s="77"/>
      <c r="D47" s="72"/>
      <c r="E47" s="72"/>
      <c r="F47" s="72"/>
      <c r="G47" s="72"/>
      <c r="H47" s="80"/>
      <c r="I47" s="80"/>
      <c r="J47" s="80"/>
      <c r="K47" s="80"/>
      <c r="L47" s="80"/>
      <c r="M47" s="80"/>
      <c r="N47" s="80"/>
      <c r="O47" s="80" t="s">
        <v>642</v>
      </c>
      <c r="P47" s="80"/>
      <c r="Q47" s="80"/>
      <c r="R47" s="80"/>
      <c r="S47" s="80"/>
    </row>
    <row r="48" spans="1:19">
      <c r="B48" s="77"/>
      <c r="C48" s="77"/>
      <c r="D48" s="72"/>
      <c r="E48" s="72"/>
      <c r="F48" s="72"/>
      <c r="G48" s="72"/>
      <c r="H48" s="80"/>
      <c r="I48" s="80"/>
      <c r="J48" s="80"/>
      <c r="K48" s="80"/>
      <c r="L48" s="80"/>
      <c r="M48" s="80"/>
      <c r="N48" s="80"/>
      <c r="O48" s="80"/>
      <c r="P48" s="80"/>
      <c r="Q48" s="80"/>
      <c r="R48" s="80"/>
      <c r="S48" s="80"/>
    </row>
    <row r="49" spans="1:19">
      <c r="B49" s="77"/>
      <c r="C49" s="77"/>
      <c r="D49" s="72"/>
      <c r="E49" s="72"/>
      <c r="F49" s="72"/>
      <c r="G49" s="72"/>
      <c r="H49" s="80"/>
      <c r="I49" s="80"/>
      <c r="J49" s="80"/>
      <c r="K49" s="80"/>
      <c r="L49" s="80"/>
      <c r="M49" s="80"/>
      <c r="N49" s="80"/>
      <c r="O49" s="80"/>
      <c r="P49" s="80"/>
      <c r="Q49" s="80"/>
      <c r="R49" s="80"/>
      <c r="S49" s="80"/>
    </row>
    <row r="50" spans="1:19">
      <c r="B50" s="77"/>
      <c r="C50" s="77"/>
      <c r="D50" s="72"/>
      <c r="E50" s="72"/>
      <c r="F50" s="72"/>
      <c r="G50" s="72"/>
      <c r="H50" s="80"/>
      <c r="I50" s="80"/>
      <c r="J50" s="80"/>
      <c r="K50" s="80"/>
      <c r="L50" s="80"/>
      <c r="M50" s="80"/>
      <c r="N50" s="80"/>
      <c r="O50" s="80"/>
      <c r="P50" s="80"/>
      <c r="Q50" s="80"/>
      <c r="R50" s="80"/>
      <c r="S50" s="80"/>
    </row>
    <row r="51" spans="1:19">
      <c r="B51" s="77"/>
      <c r="C51" s="77"/>
      <c r="D51" s="72"/>
      <c r="E51" s="72"/>
      <c r="F51" s="72"/>
      <c r="G51" s="72"/>
      <c r="H51" s="80"/>
      <c r="I51" s="80"/>
      <c r="J51" s="80"/>
      <c r="K51" s="80"/>
      <c r="L51" s="80"/>
      <c r="M51" s="80"/>
      <c r="N51" s="80"/>
      <c r="O51" s="80"/>
      <c r="P51" s="80"/>
      <c r="Q51" s="80"/>
      <c r="R51" s="80"/>
      <c r="S51" s="80"/>
    </row>
    <row r="52" spans="1:19">
      <c r="B52" s="77"/>
      <c r="C52" s="77"/>
      <c r="D52" s="72"/>
      <c r="E52" s="72"/>
      <c r="F52" s="72"/>
      <c r="G52" s="72"/>
      <c r="H52" s="80"/>
      <c r="I52" s="80"/>
      <c r="J52" s="80"/>
      <c r="K52" s="80"/>
      <c r="L52" s="80"/>
      <c r="M52" s="80"/>
      <c r="N52" s="80"/>
      <c r="O52" s="80"/>
      <c r="P52" s="80"/>
      <c r="Q52" s="80"/>
      <c r="R52" s="80"/>
      <c r="S52" s="80"/>
    </row>
    <row r="53" spans="1:19">
      <c r="B53" s="77"/>
      <c r="C53" s="77"/>
      <c r="D53" s="72"/>
      <c r="E53" s="72"/>
      <c r="F53" s="72"/>
      <c r="G53" s="72"/>
      <c r="H53" s="1130"/>
      <c r="I53" s="1130"/>
      <c r="J53" s="1130"/>
      <c r="K53" s="1130"/>
      <c r="L53" s="1130"/>
      <c r="M53" s="1130"/>
      <c r="N53" s="80"/>
      <c r="O53" s="80"/>
      <c r="P53" s="80"/>
      <c r="Q53" s="80"/>
      <c r="R53" s="80"/>
      <c r="S53" s="80"/>
    </row>
    <row r="54" spans="1:19" ht="15.6">
      <c r="B54" s="77"/>
      <c r="C54" s="77"/>
      <c r="D54" s="72"/>
      <c r="E54" s="72"/>
      <c r="F54" s="72"/>
      <c r="G54" s="596" t="s">
        <v>342</v>
      </c>
      <c r="H54" s="648"/>
      <c r="I54" s="648"/>
      <c r="J54" s="648"/>
      <c r="K54" s="648"/>
      <c r="L54" s="648"/>
      <c r="M54" s="648"/>
      <c r="N54" s="80"/>
      <c r="O54" s="80"/>
      <c r="P54" s="80"/>
      <c r="Q54" s="80"/>
      <c r="R54" s="80"/>
      <c r="S54" s="80"/>
    </row>
    <row r="55" spans="1:19">
      <c r="B55" s="972"/>
      <c r="C55" s="972"/>
      <c r="D55" s="972"/>
      <c r="E55" s="972"/>
      <c r="F55" s="972"/>
      <c r="G55" s="972"/>
      <c r="H55" s="972"/>
      <c r="I55" s="972"/>
      <c r="J55" s="972"/>
      <c r="K55" s="972"/>
      <c r="L55" s="972"/>
      <c r="M55" s="972"/>
      <c r="N55" s="972"/>
      <c r="O55" s="972"/>
      <c r="P55" s="972"/>
      <c r="Q55" s="972"/>
      <c r="R55" s="972"/>
      <c r="S55" s="972"/>
    </row>
    <row r="56" spans="1:19">
      <c r="B56" s="1128" t="s">
        <v>635</v>
      </c>
      <c r="C56" s="1128"/>
      <c r="D56" s="1128"/>
      <c r="E56" s="1128"/>
      <c r="F56" s="1128"/>
      <c r="G56" s="1128"/>
      <c r="H56" s="1128"/>
      <c r="I56" s="1128"/>
      <c r="J56" s="1128"/>
      <c r="K56" s="1128"/>
      <c r="L56" s="1128"/>
      <c r="M56" s="1128"/>
      <c r="N56" s="1128"/>
      <c r="O56" s="1128"/>
      <c r="P56" s="1128"/>
      <c r="Q56" s="1128"/>
      <c r="R56" s="1128"/>
      <c r="S56" s="1128"/>
    </row>
    <row r="57" spans="1:19">
      <c r="B57" s="886" t="s">
        <v>706</v>
      </c>
      <c r="C57" s="952"/>
      <c r="D57" s="952"/>
      <c r="E57" s="952"/>
      <c r="F57" s="952"/>
      <c r="G57" s="952"/>
      <c r="H57" s="952"/>
      <c r="I57" s="952"/>
      <c r="J57" s="952"/>
      <c r="K57" s="952"/>
      <c r="L57" s="952"/>
      <c r="M57" s="952"/>
      <c r="N57" s="952"/>
      <c r="O57" s="952"/>
      <c r="P57" s="952"/>
      <c r="Q57" s="952"/>
      <c r="R57" s="952"/>
      <c r="S57" s="952"/>
    </row>
    <row r="58" spans="1:19">
      <c r="B58" s="972"/>
      <c r="C58" s="972"/>
      <c r="D58" s="972"/>
      <c r="E58" s="972"/>
      <c r="F58" s="972"/>
      <c r="G58" s="972"/>
      <c r="H58" s="972"/>
      <c r="I58" s="972"/>
      <c r="J58" s="972"/>
      <c r="K58" s="972"/>
      <c r="L58" s="972"/>
      <c r="M58" s="972"/>
      <c r="N58" s="972"/>
      <c r="O58" s="972"/>
      <c r="P58" s="972"/>
      <c r="Q58" s="972"/>
      <c r="R58" s="972"/>
      <c r="S58" s="972"/>
    </row>
    <row r="59" spans="1:19">
      <c r="B59" s="72"/>
      <c r="C59" s="72"/>
      <c r="D59" s="72"/>
      <c r="E59" s="72"/>
      <c r="F59" s="72"/>
      <c r="G59" s="72"/>
      <c r="H59" s="72"/>
      <c r="I59" s="72"/>
      <c r="J59" s="72"/>
      <c r="K59" s="72"/>
      <c r="L59" s="72"/>
      <c r="M59" s="72"/>
      <c r="N59" s="72"/>
      <c r="O59" s="72"/>
      <c r="P59" s="72"/>
      <c r="Q59" s="72"/>
      <c r="R59" s="72"/>
      <c r="S59" s="72"/>
    </row>
    <row r="60" spans="1:19">
      <c r="B60" s="72"/>
      <c r="C60" s="72"/>
      <c r="D60" s="72"/>
      <c r="E60" s="72"/>
      <c r="F60" s="72"/>
      <c r="G60" s="72"/>
      <c r="H60" s="72"/>
      <c r="I60" s="72"/>
      <c r="J60" s="72"/>
      <c r="K60" s="72"/>
      <c r="L60" s="72"/>
      <c r="M60" s="72"/>
      <c r="N60" s="72"/>
      <c r="O60" s="72"/>
      <c r="P60" s="72"/>
      <c r="Q60" s="72"/>
      <c r="R60" s="72"/>
      <c r="S60" s="72"/>
    </row>
    <row r="61" spans="1:19">
      <c r="A61" s="41"/>
      <c r="B61" s="584"/>
      <c r="C61" s="585"/>
      <c r="D61" s="585"/>
      <c r="E61" s="585"/>
      <c r="F61" s="585"/>
      <c r="G61" s="585"/>
      <c r="H61" s="586"/>
      <c r="I61" s="1133" t="s">
        <v>542</v>
      </c>
      <c r="J61" s="1134"/>
      <c r="K61" s="584"/>
      <c r="L61" s="585"/>
      <c r="M61" s="585"/>
      <c r="N61" s="587"/>
      <c r="O61" s="585"/>
      <c r="P61" s="585"/>
      <c r="Q61" s="585"/>
      <c r="R61" s="585"/>
      <c r="S61" s="586"/>
    </row>
    <row r="62" spans="1:19">
      <c r="A62" s="237" t="s">
        <v>418</v>
      </c>
      <c r="B62" s="1126" t="s">
        <v>538</v>
      </c>
      <c r="C62" s="1126" t="s">
        <v>344</v>
      </c>
      <c r="D62" s="1126" t="s">
        <v>345</v>
      </c>
      <c r="E62" s="574" t="s">
        <v>108</v>
      </c>
      <c r="F62" s="1126" t="s">
        <v>540</v>
      </c>
      <c r="G62" s="575" t="s">
        <v>21</v>
      </c>
      <c r="H62" s="575" t="s">
        <v>541</v>
      </c>
      <c r="I62" s="576" t="s">
        <v>543</v>
      </c>
      <c r="J62" s="576"/>
      <c r="K62" s="576"/>
      <c r="L62" s="575" t="s">
        <v>586</v>
      </c>
      <c r="M62" s="578" t="s">
        <v>270</v>
      </c>
      <c r="N62" s="575" t="s">
        <v>546</v>
      </c>
      <c r="O62" s="574" t="s">
        <v>547</v>
      </c>
      <c r="P62" s="575" t="s">
        <v>118</v>
      </c>
      <c r="Q62" s="576"/>
      <c r="R62" s="576"/>
      <c r="S62" s="576"/>
    </row>
    <row r="63" spans="1:19">
      <c r="A63" s="238"/>
      <c r="B63" s="1127"/>
      <c r="C63" s="1127"/>
      <c r="D63" s="1127"/>
      <c r="E63" s="579" t="s">
        <v>539</v>
      </c>
      <c r="F63" s="1127"/>
      <c r="G63" s="580" t="s">
        <v>271</v>
      </c>
      <c r="H63" s="580" t="s">
        <v>19</v>
      </c>
      <c r="I63" s="580" t="s">
        <v>186</v>
      </c>
      <c r="J63" s="580" t="s">
        <v>272</v>
      </c>
      <c r="K63" s="580" t="s">
        <v>544</v>
      </c>
      <c r="L63" s="580" t="s">
        <v>137</v>
      </c>
      <c r="M63" s="582" t="s">
        <v>587</v>
      </c>
      <c r="N63" s="580" t="s">
        <v>137</v>
      </c>
      <c r="O63" s="583" t="s">
        <v>137</v>
      </c>
      <c r="P63" s="580" t="s">
        <v>137</v>
      </c>
      <c r="Q63" s="580" t="s">
        <v>136</v>
      </c>
      <c r="R63" s="580" t="s">
        <v>134</v>
      </c>
      <c r="S63" s="580" t="s">
        <v>135</v>
      </c>
    </row>
    <row r="64" spans="1:19">
      <c r="A64" s="31">
        <v>25</v>
      </c>
      <c r="B64" s="236" t="s">
        <v>323</v>
      </c>
      <c r="C64" s="239" t="s">
        <v>283</v>
      </c>
      <c r="D64" s="239" t="s">
        <v>391</v>
      </c>
      <c r="E64" s="240"/>
      <c r="F64" s="571">
        <v>22944</v>
      </c>
      <c r="G64" s="569" t="s">
        <v>577</v>
      </c>
      <c r="H64" s="242">
        <v>80411</v>
      </c>
      <c r="I64" s="242">
        <f t="shared" ref="I64:I75" si="3">H64*0.09</f>
        <v>7236.99</v>
      </c>
      <c r="J64" s="242">
        <f t="shared" ref="J64:J75" si="4">H64*0.12</f>
        <v>9649.32</v>
      </c>
      <c r="K64" s="242">
        <v>100</v>
      </c>
      <c r="L64" s="242"/>
      <c r="M64" s="242"/>
      <c r="N64" s="242"/>
      <c r="O64" s="242"/>
      <c r="P64" s="242"/>
      <c r="Q64" s="242"/>
      <c r="R64" s="242"/>
      <c r="S64" s="242"/>
    </row>
    <row r="65" spans="1:20">
      <c r="A65" s="31">
        <v>26</v>
      </c>
      <c r="B65" s="244" t="s">
        <v>324</v>
      </c>
      <c r="C65" s="244" t="s">
        <v>325</v>
      </c>
      <c r="D65" s="244" t="s">
        <v>393</v>
      </c>
      <c r="E65" s="244"/>
      <c r="F65" s="241">
        <v>22990</v>
      </c>
      <c r="G65" s="569" t="s">
        <v>578</v>
      </c>
      <c r="H65" s="242">
        <v>41006</v>
      </c>
      <c r="I65" s="242">
        <f t="shared" si="3"/>
        <v>3690.54</v>
      </c>
      <c r="J65" s="242">
        <f t="shared" si="4"/>
        <v>4920.72</v>
      </c>
      <c r="K65" s="242">
        <v>100</v>
      </c>
      <c r="L65" s="242"/>
      <c r="M65" s="242"/>
      <c r="N65" s="242">
        <v>1099.53</v>
      </c>
      <c r="O65" s="242"/>
      <c r="P65" s="242"/>
      <c r="Q65" s="242"/>
      <c r="R65" s="242">
        <v>6109.05</v>
      </c>
      <c r="S65" s="242"/>
    </row>
    <row r="66" spans="1:20">
      <c r="A66" s="31">
        <v>27</v>
      </c>
      <c r="B66" s="244" t="s">
        <v>326</v>
      </c>
      <c r="C66" s="244" t="s">
        <v>327</v>
      </c>
      <c r="D66" s="244" t="s">
        <v>395</v>
      </c>
      <c r="E66" s="244"/>
      <c r="F66" s="241">
        <v>23033</v>
      </c>
      <c r="G66" s="569" t="s">
        <v>579</v>
      </c>
      <c r="H66" s="242">
        <v>51304</v>
      </c>
      <c r="I66" s="242">
        <f t="shared" si="3"/>
        <v>4617.3599999999997</v>
      </c>
      <c r="J66" s="242">
        <f t="shared" si="4"/>
        <v>6156.48</v>
      </c>
      <c r="K66" s="242">
        <v>100</v>
      </c>
      <c r="L66" s="242"/>
      <c r="M66" s="242"/>
      <c r="N66" s="242">
        <v>655.56</v>
      </c>
      <c r="O66" s="242"/>
      <c r="P66" s="242"/>
      <c r="Q66" s="242"/>
      <c r="R66" s="242">
        <v>7636.32</v>
      </c>
      <c r="S66" s="242"/>
    </row>
    <row r="67" spans="1:20">
      <c r="A67" s="31">
        <v>28</v>
      </c>
      <c r="B67" s="244" t="s">
        <v>328</v>
      </c>
      <c r="C67" s="244" t="s">
        <v>329</v>
      </c>
      <c r="D67" s="244" t="s">
        <v>552</v>
      </c>
      <c r="E67" s="244"/>
      <c r="F67" s="571">
        <v>35258</v>
      </c>
      <c r="G67" s="569" t="s">
        <v>580</v>
      </c>
      <c r="H67" s="242">
        <v>40208</v>
      </c>
      <c r="I67" s="242">
        <f t="shared" si="3"/>
        <v>3618.72</v>
      </c>
      <c r="J67" s="242">
        <f t="shared" si="4"/>
        <v>4824.96</v>
      </c>
      <c r="K67" s="242">
        <v>100</v>
      </c>
      <c r="L67" s="242"/>
      <c r="M67" s="242"/>
      <c r="N67" s="242"/>
      <c r="O67" s="242"/>
      <c r="P67" s="242">
        <v>1966.67</v>
      </c>
      <c r="Q67" s="242"/>
      <c r="R67" s="242">
        <v>5180.3100000000004</v>
      </c>
      <c r="S67" s="242">
        <v>1400</v>
      </c>
    </row>
    <row r="68" spans="1:20">
      <c r="A68" s="31">
        <v>29</v>
      </c>
      <c r="B68" s="239" t="s">
        <v>330</v>
      </c>
      <c r="C68" s="239" t="s">
        <v>331</v>
      </c>
      <c r="D68" s="239" t="s">
        <v>399</v>
      </c>
      <c r="E68" s="240"/>
      <c r="F68" s="241">
        <v>32178</v>
      </c>
      <c r="G68" s="569" t="s">
        <v>581</v>
      </c>
      <c r="H68" s="242">
        <v>78162</v>
      </c>
      <c r="I68" s="242">
        <f t="shared" si="3"/>
        <v>7034.58</v>
      </c>
      <c r="J68" s="242">
        <f t="shared" si="4"/>
        <v>9379.44</v>
      </c>
      <c r="K68" s="242">
        <v>100</v>
      </c>
      <c r="L68" s="242"/>
      <c r="M68" s="242">
        <v>500</v>
      </c>
      <c r="N68" s="242"/>
      <c r="O68" s="242"/>
      <c r="P68" s="242">
        <v>1966.67</v>
      </c>
      <c r="Q68" s="242"/>
      <c r="R68" s="242">
        <v>8327.94</v>
      </c>
      <c r="S68" s="242"/>
    </row>
    <row r="69" spans="1:20">
      <c r="A69" s="31">
        <v>30</v>
      </c>
      <c r="B69" s="244" t="s">
        <v>332</v>
      </c>
      <c r="C69" s="244" t="s">
        <v>333</v>
      </c>
      <c r="D69" s="244" t="s">
        <v>401</v>
      </c>
      <c r="E69" s="244"/>
      <c r="F69" s="241">
        <v>23386</v>
      </c>
      <c r="G69" s="569" t="s">
        <v>582</v>
      </c>
      <c r="H69" s="242">
        <v>16088</v>
      </c>
      <c r="I69" s="242">
        <f t="shared" si="3"/>
        <v>1447.9199999999998</v>
      </c>
      <c r="J69" s="242">
        <f t="shared" si="4"/>
        <v>1930.56</v>
      </c>
      <c r="K69" s="242">
        <v>100</v>
      </c>
      <c r="L69" s="242"/>
      <c r="M69" s="242"/>
      <c r="N69" s="242"/>
      <c r="O69" s="242"/>
      <c r="P69" s="242"/>
      <c r="Q69" s="242"/>
      <c r="R69" s="242"/>
      <c r="S69" s="242"/>
    </row>
    <row r="70" spans="1:20">
      <c r="A70" s="31">
        <v>31</v>
      </c>
      <c r="B70" s="244" t="s">
        <v>334</v>
      </c>
      <c r="C70" s="244" t="s">
        <v>335</v>
      </c>
      <c r="D70" s="244" t="s">
        <v>403</v>
      </c>
      <c r="E70" s="244"/>
      <c r="F70" s="241">
        <v>27602</v>
      </c>
      <c r="G70" s="569" t="s">
        <v>583</v>
      </c>
      <c r="H70" s="242">
        <v>16088</v>
      </c>
      <c r="I70" s="242">
        <f t="shared" si="3"/>
        <v>1447.9199999999998</v>
      </c>
      <c r="J70" s="242">
        <f t="shared" si="4"/>
        <v>1930.56</v>
      </c>
      <c r="K70" s="242">
        <v>100</v>
      </c>
      <c r="L70" s="242"/>
      <c r="M70" s="242"/>
      <c r="N70" s="242"/>
      <c r="O70" s="242"/>
      <c r="P70" s="242"/>
      <c r="Q70" s="242"/>
      <c r="R70" s="242"/>
      <c r="S70" s="242"/>
    </row>
    <row r="71" spans="1:20">
      <c r="A71" s="31">
        <v>32</v>
      </c>
      <c r="B71" s="244" t="s">
        <v>336</v>
      </c>
      <c r="C71" s="244" t="s">
        <v>337</v>
      </c>
      <c r="D71" s="244" t="s">
        <v>405</v>
      </c>
      <c r="E71" s="244"/>
      <c r="F71" s="241">
        <v>33486</v>
      </c>
      <c r="G71" s="569" t="s">
        <v>584</v>
      </c>
      <c r="H71" s="242">
        <v>17084</v>
      </c>
      <c r="I71" s="242">
        <f t="shared" si="3"/>
        <v>1537.56</v>
      </c>
      <c r="J71" s="242">
        <f t="shared" si="4"/>
        <v>2050.08</v>
      </c>
      <c r="K71" s="242">
        <v>100</v>
      </c>
      <c r="L71" s="242"/>
      <c r="M71" s="242"/>
      <c r="N71" s="242"/>
      <c r="O71" s="242"/>
      <c r="P71" s="242"/>
      <c r="Q71" s="242"/>
      <c r="R71" s="242">
        <v>2219.77</v>
      </c>
      <c r="S71" s="242"/>
    </row>
    <row r="72" spans="1:20">
      <c r="A72" s="31">
        <v>33</v>
      </c>
      <c r="B72" s="244" t="s">
        <v>338</v>
      </c>
      <c r="C72" s="244" t="s">
        <v>339</v>
      </c>
      <c r="D72" s="244" t="s">
        <v>364</v>
      </c>
      <c r="E72" s="244"/>
      <c r="F72" s="241">
        <v>24685</v>
      </c>
      <c r="G72" s="569" t="s">
        <v>585</v>
      </c>
      <c r="H72" s="242">
        <v>15852</v>
      </c>
      <c r="I72" s="242">
        <f t="shared" si="3"/>
        <v>1426.6799999999998</v>
      </c>
      <c r="J72" s="242">
        <f t="shared" si="4"/>
        <v>1902.24</v>
      </c>
      <c r="K72" s="242">
        <v>100</v>
      </c>
      <c r="L72" s="242"/>
      <c r="M72" s="242"/>
      <c r="N72" s="242"/>
      <c r="O72" s="242"/>
      <c r="P72" s="242"/>
      <c r="Q72" s="242"/>
      <c r="R72" s="242"/>
      <c r="S72" s="242"/>
    </row>
    <row r="73" spans="1:20">
      <c r="A73" s="31">
        <v>34</v>
      </c>
      <c r="B73" s="730" t="s">
        <v>653</v>
      </c>
      <c r="C73" s="730" t="s">
        <v>654</v>
      </c>
      <c r="D73" s="730" t="s">
        <v>655</v>
      </c>
      <c r="E73" s="730"/>
      <c r="F73" s="731">
        <v>35227</v>
      </c>
      <c r="G73" s="733" t="s">
        <v>685</v>
      </c>
      <c r="H73" s="732">
        <v>40208</v>
      </c>
      <c r="I73" s="732">
        <f t="shared" si="3"/>
        <v>3618.72</v>
      </c>
      <c r="J73" s="732">
        <f t="shared" si="4"/>
        <v>4824.96</v>
      </c>
      <c r="K73" s="242">
        <v>100</v>
      </c>
      <c r="L73" s="732"/>
      <c r="M73" s="732"/>
      <c r="N73" s="732"/>
      <c r="O73" s="732"/>
      <c r="P73" s="732">
        <v>1966.67</v>
      </c>
      <c r="Q73" s="732"/>
      <c r="R73" s="732"/>
      <c r="S73" s="732"/>
    </row>
    <row r="74" spans="1:20">
      <c r="A74" s="31">
        <v>35</v>
      </c>
      <c r="B74" s="730" t="s">
        <v>656</v>
      </c>
      <c r="C74" s="730" t="s">
        <v>657</v>
      </c>
      <c r="D74" s="730" t="s">
        <v>658</v>
      </c>
      <c r="E74" s="730"/>
      <c r="F74" s="731">
        <v>35349</v>
      </c>
      <c r="G74" s="733" t="s">
        <v>686</v>
      </c>
      <c r="H74" s="732">
        <v>30024</v>
      </c>
      <c r="I74" s="732">
        <f t="shared" si="3"/>
        <v>2702.16</v>
      </c>
      <c r="J74" s="732">
        <f t="shared" si="4"/>
        <v>3602.8799999999997</v>
      </c>
      <c r="K74" s="242">
        <v>100</v>
      </c>
      <c r="L74" s="732"/>
      <c r="M74" s="732"/>
      <c r="N74" s="732"/>
      <c r="O74" s="732"/>
      <c r="P74" s="732"/>
      <c r="Q74" s="732"/>
      <c r="R74" s="732">
        <v>2551.23</v>
      </c>
      <c r="S74" s="732">
        <v>1783.33</v>
      </c>
    </row>
    <row r="75" spans="1:20">
      <c r="A75" s="31">
        <v>36</v>
      </c>
      <c r="B75" s="730" t="s">
        <v>376</v>
      </c>
      <c r="C75" s="730" t="s">
        <v>659</v>
      </c>
      <c r="D75" s="730" t="s">
        <v>660</v>
      </c>
      <c r="E75" s="730"/>
      <c r="F75" s="731">
        <v>33073</v>
      </c>
      <c r="G75" s="733" t="s">
        <v>661</v>
      </c>
      <c r="H75" s="732">
        <v>40208</v>
      </c>
      <c r="I75" s="732">
        <f t="shared" si="3"/>
        <v>3618.72</v>
      </c>
      <c r="J75" s="732">
        <f t="shared" si="4"/>
        <v>4824.96</v>
      </c>
      <c r="K75" s="242">
        <v>100</v>
      </c>
      <c r="L75" s="732"/>
      <c r="M75" s="732"/>
      <c r="N75" s="732"/>
      <c r="O75" s="732"/>
      <c r="P75" s="732"/>
      <c r="Q75" s="732"/>
      <c r="R75" s="732"/>
      <c r="S75" s="732"/>
    </row>
    <row r="76" spans="1:20">
      <c r="A76" s="28"/>
      <c r="B76" s="251" t="s">
        <v>322</v>
      </c>
      <c r="C76" s="251"/>
      <c r="D76" s="244"/>
      <c r="E76" s="244"/>
      <c r="F76" s="244"/>
      <c r="G76" s="244"/>
      <c r="H76" s="250">
        <f>SUM(H59:H75)</f>
        <v>466643</v>
      </c>
      <c r="I76" s="250">
        <f>SUM(I59:I75)</f>
        <v>41997.869999999995</v>
      </c>
      <c r="J76" s="250">
        <f>SUM(J59:J75)</f>
        <v>55997.159999999989</v>
      </c>
      <c r="K76" s="250">
        <f>SUM(K59:K75)</f>
        <v>1200</v>
      </c>
      <c r="L76" s="250"/>
      <c r="M76" s="250">
        <f>SUM(M59:M72)</f>
        <v>500</v>
      </c>
      <c r="N76" s="250">
        <f>SUM(N59:N72)</f>
        <v>1755.09</v>
      </c>
      <c r="O76" s="250">
        <f>SUM(O59:O72)</f>
        <v>0</v>
      </c>
      <c r="P76" s="250">
        <f>SUM(P59:P72)</f>
        <v>3933.34</v>
      </c>
      <c r="Q76" s="250"/>
      <c r="R76" s="250">
        <f>SUM(R59:R75)</f>
        <v>32024.620000000003</v>
      </c>
      <c r="S76" s="250">
        <f>SUM(S59:S75)</f>
        <v>3183.33</v>
      </c>
    </row>
    <row r="77" spans="1:20">
      <c r="A77" s="28"/>
      <c r="B77" s="239" t="s">
        <v>340</v>
      </c>
      <c r="C77" s="239"/>
      <c r="D77" s="239"/>
      <c r="E77" s="239"/>
      <c r="F77" s="239"/>
      <c r="G77" s="239"/>
      <c r="H77" s="242">
        <f t="shared" ref="H77:S77" si="5">H40+H76</f>
        <v>1538150</v>
      </c>
      <c r="I77" s="242">
        <f t="shared" si="5"/>
        <v>138433.49999999997</v>
      </c>
      <c r="J77" s="242">
        <f t="shared" si="5"/>
        <v>184578</v>
      </c>
      <c r="K77" s="242">
        <f t="shared" si="5"/>
        <v>3600</v>
      </c>
      <c r="L77" s="242">
        <f t="shared" si="5"/>
        <v>0</v>
      </c>
      <c r="M77" s="242">
        <f t="shared" si="5"/>
        <v>3100</v>
      </c>
      <c r="N77" s="242">
        <f t="shared" si="5"/>
        <v>7143.9</v>
      </c>
      <c r="O77" s="242">
        <f t="shared" si="5"/>
        <v>1533.5</v>
      </c>
      <c r="P77" s="242">
        <f t="shared" si="5"/>
        <v>23600.039999999997</v>
      </c>
      <c r="Q77" s="242">
        <f t="shared" si="5"/>
        <v>94586.030000000013</v>
      </c>
      <c r="R77" s="242">
        <f t="shared" si="5"/>
        <v>134700.56</v>
      </c>
      <c r="S77" s="242">
        <f t="shared" si="5"/>
        <v>27866.640000000007</v>
      </c>
      <c r="T77" s="72"/>
    </row>
    <row r="78" spans="1:20">
      <c r="B78" s="72"/>
      <c r="C78" s="72"/>
      <c r="D78" s="72"/>
      <c r="E78" s="71"/>
      <c r="F78" s="252"/>
      <c r="G78" s="252"/>
      <c r="H78" s="116"/>
      <c r="I78" s="92"/>
      <c r="J78" s="92"/>
      <c r="K78" s="72"/>
      <c r="L78" s="87"/>
      <c r="M78" s="87"/>
      <c r="N78" s="87"/>
      <c r="O78" s="87"/>
      <c r="P78" s="87"/>
      <c r="Q78" s="87"/>
      <c r="R78" s="87"/>
      <c r="S78" s="87"/>
      <c r="T78" s="72"/>
    </row>
    <row r="79" spans="1:20">
      <c r="B79" s="72"/>
      <c r="C79" s="72"/>
      <c r="D79" s="72"/>
      <c r="E79" s="71"/>
      <c r="F79" s="252"/>
      <c r="G79" s="252"/>
      <c r="H79" s="92"/>
      <c r="I79" s="92"/>
      <c r="J79" s="92"/>
      <c r="K79" s="72"/>
      <c r="L79" s="87"/>
      <c r="M79" s="87"/>
      <c r="N79" s="87"/>
      <c r="O79" s="87"/>
      <c r="P79" s="87"/>
      <c r="Q79" s="87"/>
      <c r="R79" s="87"/>
      <c r="S79" s="87"/>
      <c r="T79" s="72"/>
    </row>
    <row r="80" spans="1:20" ht="15.6">
      <c r="B80" s="72"/>
      <c r="C80" s="72"/>
      <c r="D80" s="72"/>
      <c r="E80" s="71"/>
      <c r="F80" s="252"/>
      <c r="G80" s="252"/>
      <c r="H80" s="92"/>
      <c r="I80" s="254"/>
      <c r="J80" s="255"/>
      <c r="L80" s="87"/>
      <c r="M80" s="87"/>
      <c r="N80" s="87"/>
      <c r="O80" s="87"/>
      <c r="P80" s="87"/>
      <c r="Q80" s="87"/>
      <c r="R80" s="87"/>
      <c r="S80" s="87"/>
      <c r="T80" s="72"/>
    </row>
    <row r="81" spans="2:20">
      <c r="B81" s="72"/>
      <c r="C81" s="253"/>
      <c r="D81" s="72"/>
      <c r="E81" s="71"/>
      <c r="F81" s="252"/>
      <c r="G81" s="252"/>
      <c r="H81" s="92"/>
      <c r="I81" s="256"/>
      <c r="J81" s="256"/>
      <c r="L81" s="87"/>
      <c r="M81" s="87"/>
      <c r="N81" s="87"/>
      <c r="O81" s="87"/>
      <c r="P81" s="87"/>
      <c r="Q81" s="87"/>
      <c r="R81" s="87"/>
      <c r="S81" s="87"/>
      <c r="T81" s="72"/>
    </row>
    <row r="82" spans="2:20">
      <c r="B82" s="72"/>
      <c r="C82" s="72"/>
      <c r="D82" s="595" t="s">
        <v>248</v>
      </c>
      <c r="E82" s="72"/>
      <c r="F82" s="72"/>
      <c r="G82" s="72"/>
      <c r="H82" s="72"/>
      <c r="I82" s="80"/>
      <c r="J82" s="80"/>
      <c r="K82" s="80"/>
      <c r="L82" s="598" t="s">
        <v>588</v>
      </c>
      <c r="M82" s="80"/>
      <c r="N82" s="80"/>
      <c r="O82" s="80"/>
      <c r="P82" s="87"/>
      <c r="Q82" s="87"/>
      <c r="R82" s="87"/>
      <c r="S82" s="87"/>
      <c r="T82" s="72"/>
    </row>
    <row r="83" spans="2:20">
      <c r="B83" s="72"/>
      <c r="C83" s="72"/>
      <c r="D83" s="77"/>
      <c r="E83" s="72"/>
      <c r="F83" s="72"/>
      <c r="G83" s="72"/>
      <c r="H83" s="72"/>
      <c r="I83" s="80"/>
      <c r="J83" s="80"/>
      <c r="K83" s="80"/>
      <c r="L83" s="80"/>
      <c r="M83" s="80"/>
      <c r="N83" s="80"/>
      <c r="O83" s="80"/>
      <c r="P83" s="87"/>
      <c r="Q83" s="87"/>
      <c r="R83" s="87"/>
      <c r="S83" s="87"/>
      <c r="T83" s="72"/>
    </row>
    <row r="84" spans="2:20" ht="15.6">
      <c r="B84" s="72"/>
      <c r="C84" s="72"/>
      <c r="D84" s="596" t="s">
        <v>173</v>
      </c>
      <c r="E84" s="597"/>
      <c r="F84" s="72"/>
      <c r="G84" s="72"/>
      <c r="H84" s="72"/>
      <c r="I84" s="80"/>
      <c r="J84" s="80"/>
      <c r="K84" s="80"/>
      <c r="L84" s="593" t="s">
        <v>42</v>
      </c>
      <c r="M84" s="593"/>
      <c r="N84" s="593"/>
      <c r="O84" s="80"/>
      <c r="P84" s="87"/>
      <c r="Q84" s="87"/>
      <c r="R84" s="87"/>
      <c r="S84" s="87"/>
      <c r="T84" s="72"/>
    </row>
    <row r="85" spans="2:20" ht="15.6">
      <c r="B85" s="72"/>
      <c r="C85" s="72"/>
      <c r="D85" s="597" t="s">
        <v>284</v>
      </c>
      <c r="E85" s="597"/>
      <c r="F85" s="72"/>
      <c r="G85" s="72"/>
      <c r="H85" s="72"/>
      <c r="I85" s="80"/>
      <c r="J85" s="80"/>
      <c r="K85" s="80"/>
      <c r="L85" s="594" t="s">
        <v>261</v>
      </c>
      <c r="M85" s="593"/>
      <c r="N85" s="593"/>
      <c r="O85" s="80"/>
      <c r="P85" s="87"/>
      <c r="Q85" s="87"/>
      <c r="R85" s="87"/>
      <c r="S85" s="87"/>
      <c r="T85" s="72"/>
    </row>
    <row r="86" spans="2:20">
      <c r="B86" s="72"/>
      <c r="C86" s="72"/>
      <c r="D86" s="72"/>
      <c r="E86" s="71"/>
      <c r="F86" s="252"/>
      <c r="G86" s="252"/>
      <c r="H86" s="92"/>
      <c r="I86" s="256"/>
      <c r="J86" s="256"/>
      <c r="L86" s="87"/>
      <c r="M86" s="87"/>
      <c r="N86" s="87"/>
      <c r="O86" s="87"/>
      <c r="P86" s="87"/>
      <c r="Q86" s="87"/>
      <c r="R86" s="87"/>
      <c r="S86" s="87"/>
      <c r="T86" s="72"/>
    </row>
    <row r="87" spans="2:20">
      <c r="B87" s="72"/>
      <c r="C87" s="72"/>
      <c r="D87" s="72"/>
      <c r="E87" s="71"/>
      <c r="F87" s="252"/>
      <c r="G87" s="252"/>
      <c r="H87" s="92"/>
      <c r="I87" s="256"/>
      <c r="J87" s="256"/>
      <c r="L87" s="87"/>
      <c r="M87" s="87"/>
      <c r="N87" s="87"/>
      <c r="O87" s="87"/>
      <c r="P87" s="87"/>
      <c r="Q87" s="87"/>
      <c r="R87" s="87"/>
      <c r="S87" s="87"/>
      <c r="T87" s="72"/>
    </row>
    <row r="88" spans="2:20">
      <c r="B88" s="72"/>
      <c r="C88" s="72"/>
      <c r="D88" s="72"/>
      <c r="E88" s="71"/>
      <c r="F88" s="252"/>
      <c r="G88" s="252"/>
      <c r="H88" s="92"/>
      <c r="I88" s="256"/>
      <c r="J88" s="256"/>
      <c r="L88" s="87"/>
      <c r="M88" s="87"/>
      <c r="N88" s="87"/>
      <c r="O88" s="87"/>
      <c r="P88" s="87"/>
      <c r="Q88" s="87"/>
      <c r="R88" s="87"/>
      <c r="S88" s="87"/>
      <c r="T88" s="72"/>
    </row>
    <row r="89" spans="2:20">
      <c r="B89" s="72"/>
      <c r="C89" s="72"/>
      <c r="D89" s="72"/>
      <c r="E89" s="71"/>
      <c r="F89" s="252"/>
      <c r="G89" s="252"/>
      <c r="H89" s="92"/>
      <c r="I89" s="256"/>
      <c r="J89" s="256"/>
      <c r="L89" s="87"/>
      <c r="M89" s="87"/>
      <c r="N89" s="87"/>
      <c r="O89" s="87"/>
      <c r="P89" s="87"/>
      <c r="Q89" s="87"/>
      <c r="R89" s="87"/>
      <c r="S89" s="87"/>
      <c r="T89" s="72"/>
    </row>
    <row r="90" spans="2:20">
      <c r="B90" s="72"/>
      <c r="C90" s="72"/>
      <c r="D90" s="72"/>
      <c r="E90" s="71"/>
      <c r="F90" s="252"/>
      <c r="G90" s="252"/>
      <c r="H90" s="92"/>
      <c r="I90" s="256"/>
      <c r="J90" s="256"/>
      <c r="L90" s="87"/>
      <c r="M90" s="87"/>
      <c r="N90" s="87"/>
      <c r="O90" s="87"/>
      <c r="P90" s="87"/>
      <c r="Q90" s="87"/>
      <c r="R90" s="87"/>
      <c r="S90" s="87"/>
      <c r="T90" s="72"/>
    </row>
    <row r="91" spans="2:20">
      <c r="B91" s="72"/>
      <c r="C91" s="72"/>
      <c r="D91" s="72"/>
      <c r="E91" s="71"/>
      <c r="F91" s="252"/>
      <c r="G91" s="252"/>
      <c r="H91" s="92"/>
      <c r="I91" s="256"/>
      <c r="J91" s="256"/>
      <c r="L91" s="87"/>
      <c r="M91" s="87"/>
      <c r="N91" s="87"/>
      <c r="O91" s="87"/>
      <c r="P91" s="87"/>
      <c r="Q91" s="87"/>
      <c r="R91" s="87"/>
      <c r="S91" s="87"/>
      <c r="T91" s="72"/>
    </row>
    <row r="92" spans="2:20">
      <c r="B92" s="72"/>
      <c r="C92" s="72"/>
      <c r="D92" s="72"/>
      <c r="E92" s="71"/>
      <c r="F92" s="252"/>
      <c r="G92" s="252"/>
      <c r="H92" s="92"/>
      <c r="I92" s="256"/>
      <c r="J92" s="256"/>
      <c r="L92" s="87"/>
      <c r="M92" s="87"/>
      <c r="N92" s="87"/>
      <c r="O92" s="87"/>
      <c r="P92" s="87"/>
      <c r="Q92" s="87"/>
      <c r="R92" s="87"/>
      <c r="S92" s="87"/>
      <c r="T92" s="72"/>
    </row>
    <row r="93" spans="2:20">
      <c r="B93" s="72"/>
      <c r="C93" s="72"/>
      <c r="D93" s="72"/>
      <c r="E93" s="71"/>
      <c r="F93" s="252"/>
      <c r="G93" s="252"/>
      <c r="H93" s="92"/>
      <c r="I93" s="256"/>
      <c r="J93" s="256"/>
      <c r="L93" s="87"/>
      <c r="M93" s="87"/>
      <c r="N93" s="87"/>
      <c r="O93" s="87"/>
      <c r="P93" s="87"/>
      <c r="Q93" s="87"/>
      <c r="R93" s="87"/>
      <c r="S93" s="87"/>
      <c r="T93" s="72"/>
    </row>
    <row r="94" spans="2:20">
      <c r="B94" s="72"/>
      <c r="C94" s="72"/>
      <c r="D94" s="72"/>
      <c r="E94" s="71"/>
      <c r="F94" s="252"/>
      <c r="G94" s="252"/>
      <c r="H94" s="92"/>
      <c r="I94" s="256"/>
      <c r="J94" s="256"/>
      <c r="L94" s="87"/>
      <c r="M94" s="87"/>
      <c r="N94" s="87"/>
      <c r="O94" s="87"/>
      <c r="P94" s="87"/>
      <c r="Q94" s="87"/>
      <c r="R94" s="87"/>
      <c r="S94" s="87"/>
      <c r="T94" s="72"/>
    </row>
    <row r="95" spans="2:20">
      <c r="B95" s="72"/>
      <c r="C95" s="72"/>
      <c r="D95" s="72"/>
      <c r="E95" s="71"/>
      <c r="F95" s="252"/>
      <c r="G95" s="252"/>
      <c r="H95" s="92"/>
      <c r="I95" s="256"/>
      <c r="J95" s="256"/>
      <c r="L95" s="87"/>
      <c r="M95" s="87"/>
      <c r="N95" s="87"/>
      <c r="O95" s="87"/>
      <c r="P95" s="87"/>
      <c r="Q95" s="87"/>
      <c r="R95" s="87"/>
      <c r="S95" s="87"/>
      <c r="T95" s="72"/>
    </row>
    <row r="96" spans="2:20">
      <c r="B96" s="72"/>
      <c r="C96" s="72"/>
      <c r="D96" s="72"/>
      <c r="E96" s="71"/>
      <c r="F96" s="252"/>
      <c r="G96" s="252"/>
      <c r="H96" s="92"/>
      <c r="I96" s="256"/>
      <c r="J96" s="256"/>
      <c r="L96" s="87"/>
      <c r="M96" s="87"/>
      <c r="N96" s="87"/>
      <c r="O96" s="87"/>
      <c r="P96" s="87"/>
      <c r="Q96" s="87"/>
      <c r="R96" s="87"/>
      <c r="S96" s="87"/>
      <c r="T96" s="72"/>
    </row>
    <row r="97" spans="2:20">
      <c r="B97" s="72"/>
      <c r="C97" s="72"/>
      <c r="D97" s="72"/>
      <c r="E97" s="71"/>
      <c r="F97" s="252"/>
      <c r="G97" s="252"/>
      <c r="H97" s="92"/>
      <c r="I97" s="256"/>
      <c r="J97" s="256"/>
      <c r="L97" s="87"/>
      <c r="M97" s="87"/>
      <c r="N97" s="87"/>
      <c r="O97" s="87"/>
      <c r="P97" s="87"/>
      <c r="Q97" s="87"/>
      <c r="R97" s="87"/>
      <c r="S97" s="87"/>
      <c r="T97" s="72"/>
    </row>
    <row r="98" spans="2:20">
      <c r="B98" s="72"/>
      <c r="C98" s="72"/>
      <c r="D98" s="72"/>
      <c r="E98" s="71"/>
      <c r="F98" s="252"/>
      <c r="G98" s="252"/>
      <c r="H98" s="92"/>
      <c r="I98" s="256"/>
      <c r="J98" s="256"/>
      <c r="L98" s="87"/>
      <c r="M98" s="87"/>
      <c r="N98" s="87"/>
      <c r="O98" s="87"/>
      <c r="P98" s="87"/>
      <c r="Q98" s="87"/>
      <c r="R98" s="87"/>
      <c r="S98" s="87"/>
      <c r="T98" s="72"/>
    </row>
    <row r="99" spans="2:20">
      <c r="B99" s="72"/>
      <c r="C99" s="72"/>
      <c r="D99" s="72"/>
      <c r="E99" s="71"/>
      <c r="F99" s="252"/>
      <c r="G99" s="252"/>
      <c r="H99" s="92"/>
      <c r="I99" s="256"/>
      <c r="J99" s="256"/>
      <c r="L99" s="87"/>
      <c r="M99" s="87"/>
      <c r="N99" s="87"/>
      <c r="O99" s="87"/>
      <c r="P99" s="87"/>
      <c r="Q99" s="87"/>
      <c r="R99" s="87"/>
      <c r="S99" s="87"/>
      <c r="T99" s="72"/>
    </row>
    <row r="100" spans="2:20">
      <c r="B100" s="72"/>
      <c r="C100" s="72"/>
      <c r="D100" s="72"/>
      <c r="E100" s="71"/>
      <c r="F100" s="252"/>
      <c r="G100" s="252"/>
      <c r="H100" s="92"/>
      <c r="I100" s="256"/>
      <c r="J100" s="256"/>
      <c r="L100" s="87"/>
      <c r="M100" s="87"/>
      <c r="N100" s="87"/>
      <c r="O100" s="87"/>
      <c r="P100" s="87"/>
      <c r="Q100" s="87"/>
      <c r="R100" s="87"/>
      <c r="S100" s="87"/>
      <c r="T100" s="72"/>
    </row>
    <row r="101" spans="2:20">
      <c r="B101" s="972"/>
      <c r="C101" s="972"/>
      <c r="D101" s="972"/>
      <c r="E101" s="71"/>
      <c r="F101" s="972"/>
      <c r="G101" s="71"/>
      <c r="H101" s="71"/>
      <c r="I101" s="262"/>
      <c r="J101" s="262"/>
      <c r="K101" s="262"/>
      <c r="L101" s="262"/>
      <c r="M101" s="262"/>
      <c r="N101" s="262"/>
      <c r="O101" s="262"/>
      <c r="P101" s="262"/>
      <c r="Q101" s="262"/>
      <c r="R101" s="262"/>
      <c r="S101" s="71"/>
      <c r="T101" s="71"/>
    </row>
    <row r="102" spans="2:20">
      <c r="B102" s="972"/>
      <c r="C102" s="972"/>
      <c r="D102" s="972"/>
      <c r="E102" s="71"/>
      <c r="F102" s="972"/>
      <c r="G102" s="71"/>
      <c r="H102" s="87"/>
      <c r="I102" s="87"/>
      <c r="J102" s="87"/>
      <c r="K102" s="72"/>
      <c r="L102" s="87"/>
      <c r="M102" s="87"/>
      <c r="N102" s="87"/>
      <c r="O102" s="87"/>
      <c r="P102" s="87"/>
      <c r="Q102" s="87"/>
      <c r="R102" s="87"/>
      <c r="S102" s="87"/>
      <c r="T102" s="72"/>
    </row>
    <row r="103" spans="2:20">
      <c r="B103" s="257"/>
      <c r="C103" s="257"/>
      <c r="D103" s="258"/>
      <c r="E103" s="71"/>
      <c r="F103" s="259"/>
      <c r="G103" s="83"/>
      <c r="H103" s="87"/>
      <c r="I103" s="87"/>
      <c r="J103" s="87"/>
      <c r="K103" s="72"/>
      <c r="L103" s="87"/>
      <c r="M103" s="87"/>
      <c r="N103" s="87"/>
      <c r="O103" s="87"/>
      <c r="P103" s="87"/>
      <c r="Q103" s="87"/>
      <c r="R103" s="87"/>
      <c r="S103" s="87"/>
      <c r="T103" s="72"/>
    </row>
    <row r="104" spans="2:20">
      <c r="B104" s="257"/>
      <c r="C104" s="257"/>
      <c r="D104" s="258"/>
      <c r="E104" s="258"/>
      <c r="F104" s="259"/>
      <c r="G104" s="83"/>
      <c r="H104" s="87"/>
      <c r="I104" s="87"/>
      <c r="J104" s="87"/>
      <c r="K104" s="72"/>
      <c r="L104" s="87"/>
      <c r="M104" s="87"/>
      <c r="N104" s="87"/>
      <c r="O104" s="87"/>
      <c r="P104" s="87"/>
      <c r="Q104" s="87"/>
      <c r="R104" s="87"/>
      <c r="S104" s="87"/>
      <c r="T104" s="72"/>
    </row>
    <row r="105" spans="2:20">
      <c r="B105" s="257"/>
      <c r="C105" s="257"/>
      <c r="D105" s="258"/>
      <c r="E105" s="71"/>
      <c r="F105" s="259"/>
      <c r="G105" s="83"/>
      <c r="H105" s="182"/>
      <c r="I105" s="87"/>
      <c r="J105" s="87"/>
      <c r="K105" s="72"/>
      <c r="L105" s="87"/>
      <c r="M105" s="87"/>
      <c r="N105" s="87"/>
      <c r="O105" s="87"/>
      <c r="P105" s="87"/>
      <c r="Q105" s="87"/>
      <c r="R105" s="87"/>
      <c r="S105" s="87"/>
      <c r="T105" s="72"/>
    </row>
    <row r="106" spans="2:20">
      <c r="B106" s="72"/>
      <c r="C106" s="72"/>
      <c r="D106" s="71"/>
      <c r="E106" s="71"/>
      <c r="F106" s="259"/>
      <c r="G106" s="83"/>
      <c r="H106" s="182"/>
      <c r="I106" s="87"/>
      <c r="J106" s="87"/>
      <c r="K106" s="72"/>
      <c r="L106" s="87"/>
      <c r="M106" s="87"/>
      <c r="N106" s="87"/>
      <c r="O106" s="87"/>
      <c r="P106" s="87"/>
      <c r="Q106" s="87"/>
      <c r="R106" s="87"/>
      <c r="S106" s="87"/>
      <c r="T106" s="72"/>
    </row>
    <row r="107" spans="2:20">
      <c r="B107" s="72"/>
      <c r="C107" s="72"/>
      <c r="D107" s="71"/>
      <c r="E107" s="71"/>
      <c r="F107" s="259"/>
      <c r="G107" s="83"/>
      <c r="H107" s="182"/>
      <c r="I107" s="87"/>
      <c r="J107" s="87"/>
      <c r="K107" s="72"/>
      <c r="L107" s="87"/>
      <c r="M107" s="87"/>
      <c r="N107" s="87"/>
      <c r="O107" s="87"/>
      <c r="P107" s="87"/>
      <c r="Q107" s="87"/>
      <c r="R107" s="87"/>
      <c r="S107" s="87"/>
      <c r="T107" s="72"/>
    </row>
    <row r="108" spans="2:20">
      <c r="B108" s="72"/>
      <c r="C108" s="72"/>
      <c r="D108" s="71"/>
      <c r="E108" s="71"/>
      <c r="F108" s="259"/>
      <c r="G108" s="83"/>
      <c r="H108" s="182"/>
      <c r="I108" s="87"/>
      <c r="J108" s="87"/>
      <c r="K108" s="72"/>
      <c r="L108" s="87"/>
      <c r="M108" s="87"/>
      <c r="N108" s="87"/>
      <c r="O108" s="87"/>
      <c r="P108" s="87"/>
      <c r="Q108" s="87"/>
      <c r="R108" s="87"/>
      <c r="S108" s="87"/>
      <c r="T108" s="72"/>
    </row>
    <row r="109" spans="2:20">
      <c r="B109" s="72"/>
      <c r="C109" s="72"/>
      <c r="D109" s="71"/>
      <c r="E109" s="258"/>
      <c r="F109" s="259"/>
      <c r="G109" s="83"/>
      <c r="H109" s="182"/>
      <c r="I109" s="87"/>
      <c r="J109" s="87"/>
      <c r="K109" s="72"/>
      <c r="L109" s="87"/>
      <c r="M109" s="87"/>
      <c r="N109" s="87"/>
      <c r="O109" s="87"/>
      <c r="P109" s="87"/>
      <c r="Q109" s="87"/>
      <c r="R109" s="87"/>
      <c r="S109" s="87"/>
      <c r="T109" s="72"/>
    </row>
    <row r="110" spans="2:20">
      <c r="B110" s="72"/>
      <c r="C110" s="72"/>
      <c r="D110" s="71"/>
      <c r="E110" s="71"/>
      <c r="F110" s="259"/>
      <c r="G110" s="83"/>
      <c r="H110" s="182"/>
      <c r="I110" s="87"/>
      <c r="J110" s="87"/>
      <c r="K110" s="72"/>
      <c r="L110" s="87"/>
      <c r="M110" s="87"/>
      <c r="N110" s="87"/>
      <c r="O110" s="87"/>
      <c r="P110" s="87"/>
      <c r="Q110" s="87"/>
      <c r="R110" s="87"/>
      <c r="S110" s="87"/>
      <c r="T110" s="72"/>
    </row>
    <row r="111" spans="2:20">
      <c r="B111" s="72"/>
      <c r="C111" s="72"/>
      <c r="D111" s="71"/>
      <c r="E111" s="71"/>
      <c r="F111" s="259"/>
      <c r="G111" s="83"/>
      <c r="H111" s="87"/>
      <c r="I111" s="87"/>
      <c r="J111" s="87"/>
      <c r="K111" s="72"/>
      <c r="L111" s="87"/>
      <c r="M111" s="87"/>
      <c r="N111" s="87"/>
      <c r="O111" s="87"/>
      <c r="P111" s="87"/>
      <c r="Q111" s="87"/>
      <c r="R111" s="87"/>
      <c r="S111" s="87"/>
      <c r="T111" s="72"/>
    </row>
    <row r="112" spans="2:20">
      <c r="B112" s="72"/>
      <c r="C112" s="72"/>
      <c r="D112" s="71"/>
      <c r="E112" s="71"/>
      <c r="F112" s="259"/>
      <c r="G112" s="83"/>
      <c r="H112" s="182"/>
      <c r="I112" s="87"/>
      <c r="J112" s="87"/>
      <c r="K112" s="72"/>
      <c r="L112" s="87"/>
      <c r="M112" s="87"/>
      <c r="N112" s="87"/>
      <c r="O112" s="87"/>
      <c r="P112" s="87"/>
      <c r="Q112" s="87"/>
      <c r="R112" s="87"/>
      <c r="S112" s="87"/>
      <c r="T112" s="72"/>
    </row>
    <row r="113" spans="2:20">
      <c r="B113" s="72"/>
      <c r="C113" s="72"/>
      <c r="D113" s="71"/>
      <c r="E113" s="71"/>
      <c r="F113" s="259"/>
      <c r="G113" s="83"/>
      <c r="H113" s="182"/>
      <c r="I113" s="87"/>
      <c r="J113" s="87"/>
      <c r="K113" s="72"/>
      <c r="L113" s="87"/>
      <c r="M113" s="87"/>
      <c r="N113" s="87"/>
      <c r="O113" s="87"/>
      <c r="P113" s="87"/>
      <c r="Q113" s="87"/>
      <c r="R113" s="87"/>
      <c r="S113" s="87"/>
      <c r="T113" s="72"/>
    </row>
    <row r="114" spans="2:20">
      <c r="B114" s="72"/>
      <c r="C114" s="72"/>
      <c r="D114" s="71"/>
      <c r="E114" s="71"/>
      <c r="F114" s="259"/>
      <c r="G114" s="83"/>
      <c r="H114" s="182"/>
      <c r="I114" s="87"/>
      <c r="J114" s="87"/>
      <c r="K114" s="87"/>
      <c r="L114" s="87"/>
      <c r="M114" s="87"/>
      <c r="N114" s="87"/>
      <c r="O114" s="87"/>
      <c r="P114" s="87"/>
      <c r="Q114" s="87"/>
      <c r="R114" s="87"/>
      <c r="S114" s="87"/>
      <c r="T114" s="72"/>
    </row>
    <row r="115" spans="2:20">
      <c r="B115" s="260"/>
      <c r="C115" s="260"/>
      <c r="D115" s="258"/>
      <c r="E115" s="71"/>
      <c r="F115" s="259"/>
      <c r="G115" s="261"/>
      <c r="H115" s="182"/>
      <c r="I115" s="87"/>
      <c r="J115" s="87"/>
      <c r="K115" s="87"/>
      <c r="L115" s="87"/>
      <c r="M115" s="87"/>
      <c r="N115" s="87"/>
      <c r="O115" s="87"/>
      <c r="P115" s="87"/>
      <c r="Q115" s="87"/>
      <c r="R115" s="87"/>
      <c r="S115" s="87"/>
      <c r="T115" s="72"/>
    </row>
    <row r="116" spans="2:20">
      <c r="B116" s="75"/>
      <c r="C116" s="75"/>
      <c r="D116" s="71"/>
      <c r="E116" s="71"/>
      <c r="F116" s="259"/>
      <c r="G116" s="261"/>
      <c r="H116" s="182"/>
      <c r="I116" s="87"/>
      <c r="J116" s="87"/>
      <c r="K116" s="87"/>
      <c r="L116" s="87"/>
      <c r="M116" s="87"/>
      <c r="N116" s="87"/>
      <c r="O116" s="87"/>
      <c r="P116" s="87"/>
      <c r="Q116" s="87"/>
      <c r="R116" s="87"/>
      <c r="S116" s="87"/>
      <c r="T116" s="72"/>
    </row>
    <row r="117" spans="2:20">
      <c r="B117" s="75"/>
      <c r="C117" s="75"/>
      <c r="D117" s="71"/>
      <c r="E117" s="71"/>
      <c r="F117" s="259"/>
      <c r="G117" s="261"/>
      <c r="H117" s="182"/>
      <c r="I117" s="87"/>
      <c r="J117" s="87"/>
      <c r="K117" s="72"/>
      <c r="L117" s="87"/>
      <c r="M117" s="87"/>
      <c r="N117" s="87"/>
      <c r="O117" s="87"/>
      <c r="P117" s="87"/>
      <c r="Q117" s="87"/>
      <c r="R117" s="87"/>
      <c r="S117" s="87"/>
      <c r="T117" s="72"/>
    </row>
    <row r="118" spans="2:20">
      <c r="B118" s="72"/>
      <c r="C118" s="72"/>
      <c r="D118" s="71"/>
      <c r="E118" s="71"/>
      <c r="F118" s="259"/>
      <c r="G118" s="261"/>
      <c r="H118" s="182"/>
      <c r="I118" s="87"/>
      <c r="J118" s="87"/>
      <c r="K118" s="72"/>
      <c r="L118" s="87"/>
      <c r="M118" s="87"/>
      <c r="N118" s="87"/>
      <c r="O118" s="87"/>
      <c r="P118" s="87"/>
      <c r="Q118" s="87"/>
      <c r="R118" s="87"/>
      <c r="S118" s="87"/>
      <c r="T118" s="72"/>
    </row>
    <row r="119" spans="2:20">
      <c r="B119" s="72"/>
      <c r="C119" s="72"/>
      <c r="D119" s="71"/>
      <c r="E119" s="71"/>
      <c r="F119" s="259"/>
      <c r="G119" s="261"/>
      <c r="H119" s="87"/>
      <c r="I119" s="87"/>
      <c r="J119" s="87"/>
      <c r="K119" s="72"/>
      <c r="L119" s="87"/>
      <c r="M119" s="87"/>
      <c r="N119" s="87"/>
      <c r="O119" s="87"/>
      <c r="P119" s="87"/>
      <c r="Q119" s="87"/>
      <c r="R119" s="87"/>
      <c r="S119" s="87"/>
      <c r="T119" s="72"/>
    </row>
    <row r="120" spans="2:20">
      <c r="B120" s="257"/>
      <c r="C120" s="257"/>
      <c r="D120" s="258"/>
      <c r="E120" s="71"/>
      <c r="F120" s="259"/>
      <c r="G120" s="261"/>
      <c r="H120" s="83"/>
      <c r="I120" s="77"/>
      <c r="J120" s="80"/>
      <c r="K120" s="77"/>
      <c r="L120" s="77"/>
      <c r="M120" s="77"/>
      <c r="N120" s="77"/>
      <c r="O120" s="77"/>
      <c r="P120" s="77"/>
      <c r="Q120" s="77"/>
      <c r="R120" s="77"/>
      <c r="S120" s="77"/>
      <c r="T120" s="77"/>
    </row>
    <row r="121" spans="2:20">
      <c r="B121" s="257"/>
      <c r="C121" s="257"/>
      <c r="D121" s="258"/>
      <c r="E121" s="89"/>
      <c r="F121" s="263"/>
      <c r="G121" s="79"/>
      <c r="H121" s="83"/>
      <c r="I121" s="77"/>
      <c r="J121" s="80"/>
      <c r="K121" s="77"/>
      <c r="L121" s="77"/>
      <c r="M121" s="77"/>
      <c r="N121" s="77"/>
      <c r="O121" s="77"/>
      <c r="P121" s="77"/>
      <c r="Q121" s="77"/>
      <c r="R121" s="77"/>
      <c r="S121" s="77"/>
      <c r="T121" s="77"/>
    </row>
    <row r="122" spans="2:20">
      <c r="B122" s="257"/>
      <c r="C122" s="257"/>
      <c r="D122" s="258"/>
      <c r="E122" s="89"/>
      <c r="F122" s="263"/>
      <c r="G122" s="87"/>
      <c r="H122" s="77"/>
      <c r="I122" s="77"/>
      <c r="J122" s="77"/>
      <c r="K122" s="77"/>
      <c r="L122" s="77"/>
      <c r="M122" s="77"/>
      <c r="N122" s="77"/>
      <c r="O122" s="77"/>
      <c r="P122" s="77"/>
      <c r="Q122" s="77"/>
      <c r="R122" s="77"/>
      <c r="S122" s="77"/>
      <c r="T122" s="77"/>
    </row>
    <row r="123" spans="2:20">
      <c r="B123" s="72"/>
      <c r="C123" s="72"/>
      <c r="D123" s="77"/>
      <c r="E123" s="89"/>
      <c r="F123" s="259"/>
      <c r="G123" s="83"/>
      <c r="H123" s="79"/>
      <c r="I123" s="79"/>
      <c r="J123" s="79"/>
      <c r="K123" s="80"/>
      <c r="L123" s="79"/>
      <c r="M123" s="79"/>
      <c r="N123" s="79"/>
      <c r="O123" s="79"/>
      <c r="P123" s="79"/>
      <c r="Q123" s="79"/>
      <c r="R123" s="79"/>
      <c r="S123" s="79"/>
      <c r="T123" s="77"/>
    </row>
    <row r="124" spans="2:20">
      <c r="B124" s="77"/>
      <c r="C124" s="77"/>
      <c r="D124" s="77"/>
      <c r="E124" s="89"/>
      <c r="F124" s="264"/>
      <c r="G124" s="79"/>
      <c r="H124" s="116"/>
      <c r="I124" s="87"/>
      <c r="J124" s="87"/>
    </row>
    <row r="125" spans="2:20">
      <c r="B125" s="108"/>
      <c r="C125" s="72"/>
      <c r="H125" s="71"/>
      <c r="I125" s="87"/>
      <c r="J125" s="87"/>
    </row>
    <row r="126" spans="2:20" ht="15.6">
      <c r="B126" s="72"/>
      <c r="C126" s="72"/>
      <c r="H126" s="71"/>
      <c r="I126" s="270"/>
      <c r="J126" s="271"/>
    </row>
    <row r="127" spans="2:20">
      <c r="B127" s="72"/>
      <c r="C127" s="72"/>
      <c r="H127" s="89"/>
      <c r="I127" s="272"/>
      <c r="J127" s="272"/>
    </row>
    <row r="128" spans="2:20" ht="15.6">
      <c r="B128" s="265"/>
      <c r="C128" s="266"/>
      <c r="D128" s="267"/>
      <c r="E128" s="267"/>
    </row>
    <row r="129" spans="2:5" ht="13.8">
      <c r="B129" s="268"/>
      <c r="C129" s="269"/>
      <c r="D129" s="267"/>
      <c r="E129" s="267"/>
    </row>
    <row r="130" spans="2:5">
      <c r="B130" s="267"/>
      <c r="C130" s="267"/>
      <c r="D130" s="267"/>
      <c r="E130" s="267"/>
    </row>
  </sheetData>
  <mergeCells count="22">
    <mergeCell ref="G6:L6"/>
    <mergeCell ref="G7:L7"/>
    <mergeCell ref="G8:L8"/>
    <mergeCell ref="F101:F102"/>
    <mergeCell ref="B101:D102"/>
    <mergeCell ref="B62:B63"/>
    <mergeCell ref="C62:C63"/>
    <mergeCell ref="D62:D63"/>
    <mergeCell ref="B58:S58"/>
    <mergeCell ref="I61:J61"/>
    <mergeCell ref="F14:F15"/>
    <mergeCell ref="F62:F63"/>
    <mergeCell ref="I13:J13"/>
    <mergeCell ref="B55:S55"/>
    <mergeCell ref="B14:B15"/>
    <mergeCell ref="C14:C15"/>
    <mergeCell ref="D14:D15"/>
    <mergeCell ref="B56:S56"/>
    <mergeCell ref="B9:S9"/>
    <mergeCell ref="B10:S10"/>
    <mergeCell ref="B11:S11"/>
    <mergeCell ref="H53:M53"/>
  </mergeCells>
  <pageMargins left="0.13" right="0.1" top="0.23" bottom="0.47" header="0.12" footer="0.3"/>
  <pageSetup paperSize="10000" scale="9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X76"/>
  <sheetViews>
    <sheetView topLeftCell="A24" workbookViewId="0">
      <selection activeCell="K23" sqref="K23"/>
    </sheetView>
  </sheetViews>
  <sheetFormatPr defaultColWidth="9" defaultRowHeight="13.2"/>
  <cols>
    <col min="1" max="1" width="4.109375" customWidth="1"/>
    <col min="2" max="2" width="15.77734375" customWidth="1"/>
    <col min="3" max="3" width="18" customWidth="1"/>
    <col min="4" max="4" width="17.44140625" customWidth="1"/>
    <col min="5" max="5" width="6.77734375" customWidth="1"/>
    <col min="6" max="6" width="14.109375" customWidth="1"/>
    <col min="7" max="7" width="18.44140625" customWidth="1"/>
    <col min="8" max="8" width="15.33203125" customWidth="1"/>
    <col min="9" max="9" width="13.44140625" customWidth="1"/>
    <col min="10" max="10" width="15" customWidth="1"/>
    <col min="11" max="12" width="13.44140625" customWidth="1"/>
    <col min="13" max="13" width="13.109375" customWidth="1"/>
    <col min="21" max="22" width="13.109375" customWidth="1"/>
    <col min="23" max="23" width="11.77734375" customWidth="1"/>
  </cols>
  <sheetData>
    <row r="5" spans="1:23">
      <c r="A5" s="573"/>
      <c r="B5" s="573"/>
      <c r="C5" s="573"/>
      <c r="D5" s="1137"/>
      <c r="E5" s="1137"/>
      <c r="F5" s="1137"/>
      <c r="G5" s="1137"/>
      <c r="H5" s="1137"/>
      <c r="I5" s="1137"/>
      <c r="J5" s="1137"/>
      <c r="K5" s="572"/>
      <c r="L5" s="572"/>
      <c r="M5" s="572"/>
      <c r="N5" s="572"/>
      <c r="O5" s="572"/>
      <c r="P5" s="572"/>
      <c r="Q5" s="80"/>
      <c r="R5" s="80"/>
      <c r="S5" s="80"/>
      <c r="T5" s="80"/>
      <c r="U5" s="80"/>
      <c r="V5" s="80"/>
    </row>
    <row r="6" spans="1:23" ht="15.75" customHeight="1">
      <c r="A6" s="89"/>
      <c r="B6" s="89"/>
      <c r="C6" s="1143"/>
      <c r="D6" s="1143"/>
      <c r="E6" s="1143"/>
      <c r="F6" s="1143"/>
      <c r="G6" s="1143"/>
      <c r="H6" s="1143"/>
      <c r="I6" s="1143"/>
      <c r="J6" s="1143"/>
      <c r="K6" s="1143"/>
      <c r="L6" s="1143"/>
      <c r="M6" s="1143"/>
      <c r="N6" s="588"/>
      <c r="O6" s="588"/>
      <c r="P6" s="588"/>
      <c r="Q6" s="80"/>
      <c r="R6" s="80"/>
      <c r="S6" s="80"/>
      <c r="T6" s="80"/>
      <c r="U6" s="80"/>
      <c r="V6" s="80"/>
    </row>
    <row r="7" spans="1:23" ht="15.75" customHeight="1">
      <c r="A7" s="89"/>
      <c r="B7" s="89"/>
      <c r="C7" s="1144" t="s">
        <v>637</v>
      </c>
      <c r="D7" s="1144"/>
      <c r="E7" s="1144"/>
      <c r="F7" s="1144"/>
      <c r="G7" s="1144"/>
      <c r="H7" s="1144"/>
      <c r="I7" s="1144"/>
      <c r="J7" s="1144"/>
      <c r="K7" s="1144"/>
      <c r="L7" s="1144"/>
      <c r="M7" s="1144"/>
      <c r="N7" s="589"/>
      <c r="O7" s="589"/>
      <c r="P7" s="589"/>
      <c r="Q7" s="80"/>
      <c r="R7" s="80"/>
      <c r="S7" s="80"/>
      <c r="T7" s="80"/>
      <c r="U7" s="80"/>
      <c r="V7" s="80"/>
    </row>
    <row r="8" spans="1:23">
      <c r="A8" s="972"/>
      <c r="B8" s="972"/>
      <c r="C8" s="972"/>
      <c r="D8" s="972"/>
      <c r="E8" s="972"/>
      <c r="F8" s="972"/>
      <c r="G8" s="972"/>
      <c r="H8" s="972"/>
      <c r="I8" s="972"/>
      <c r="J8" s="972"/>
      <c r="K8" s="972"/>
      <c r="L8" s="972"/>
      <c r="M8" s="972"/>
      <c r="N8" s="972"/>
      <c r="O8" s="972"/>
      <c r="P8" s="972"/>
      <c r="Q8" s="972"/>
      <c r="R8" s="972"/>
      <c r="S8" s="972"/>
      <c r="T8" s="972"/>
      <c r="U8" s="972"/>
      <c r="V8" s="972"/>
    </row>
    <row r="9" spans="1:23">
      <c r="A9" s="1128" t="s">
        <v>638</v>
      </c>
      <c r="B9" s="1128"/>
      <c r="C9" s="1128"/>
      <c r="D9" s="1128"/>
      <c r="E9" s="1128"/>
      <c r="F9" s="1128"/>
      <c r="G9" s="1128"/>
      <c r="H9" s="1128"/>
      <c r="I9" s="1128"/>
      <c r="J9" s="1128"/>
      <c r="K9" s="1128"/>
      <c r="L9" s="1128"/>
      <c r="M9" s="1128"/>
      <c r="N9" s="1128"/>
      <c r="O9" s="1128"/>
      <c r="P9" s="1128"/>
      <c r="Q9" s="1128"/>
      <c r="R9" s="1128"/>
      <c r="S9" s="1128"/>
      <c r="T9" s="1128"/>
      <c r="U9" s="1128"/>
      <c r="V9" s="1128"/>
    </row>
    <row r="10" spans="1:23">
      <c r="A10" s="1138" t="s">
        <v>707</v>
      </c>
      <c r="B10" s="1138"/>
      <c r="C10" s="1138"/>
      <c r="D10" s="1138"/>
      <c r="E10" s="1138"/>
      <c r="F10" s="1138"/>
      <c r="G10" s="1138"/>
      <c r="H10" s="1138"/>
      <c r="I10" s="1138"/>
      <c r="J10" s="1138"/>
      <c r="K10" s="1138"/>
      <c r="L10" s="1138"/>
      <c r="M10" s="1138"/>
      <c r="N10" s="1138"/>
      <c r="O10" s="1138"/>
      <c r="P10" s="1138"/>
      <c r="Q10" s="1138"/>
      <c r="R10" s="1138"/>
      <c r="S10" s="1138"/>
      <c r="T10" s="1138"/>
      <c r="U10" s="1138"/>
      <c r="V10" s="1138"/>
    </row>
    <row r="11" spans="1:23">
      <c r="A11" s="573" t="s">
        <v>642</v>
      </c>
      <c r="B11" s="108"/>
      <c r="C11" s="108"/>
      <c r="D11" s="108"/>
      <c r="E11" s="108"/>
      <c r="F11" s="108"/>
      <c r="G11" s="108"/>
      <c r="H11" s="108"/>
      <c r="I11" s="108"/>
      <c r="J11" s="108"/>
      <c r="K11" s="108"/>
      <c r="L11" s="108"/>
      <c r="M11" s="108"/>
      <c r="N11" s="108"/>
    </row>
    <row r="12" spans="1:23" ht="13.8">
      <c r="A12" s="740" t="s">
        <v>418</v>
      </c>
      <c r="B12" s="1139" t="s">
        <v>538</v>
      </c>
      <c r="C12" s="1139" t="s">
        <v>344</v>
      </c>
      <c r="D12" s="1139" t="s">
        <v>589</v>
      </c>
      <c r="E12" s="844" t="s">
        <v>590</v>
      </c>
      <c r="F12" s="1139" t="s">
        <v>540</v>
      </c>
      <c r="G12" s="845" t="s">
        <v>591</v>
      </c>
      <c r="H12" s="846" t="s">
        <v>131</v>
      </c>
      <c r="I12" s="847" t="s">
        <v>346</v>
      </c>
      <c r="J12" s="1141" t="s">
        <v>134</v>
      </c>
      <c r="K12" s="848" t="s">
        <v>128</v>
      </c>
      <c r="L12" s="848" t="s">
        <v>593</v>
      </c>
      <c r="M12" s="1141" t="s">
        <v>594</v>
      </c>
      <c r="N12" s="800"/>
    </row>
    <row r="13" spans="1:23" ht="13.8">
      <c r="A13" s="740"/>
      <c r="B13" s="1140"/>
      <c r="C13" s="1140"/>
      <c r="D13" s="1140"/>
      <c r="E13" s="849" t="s">
        <v>539</v>
      </c>
      <c r="F13" s="1140"/>
      <c r="G13" s="850" t="s">
        <v>592</v>
      </c>
      <c r="H13" s="846" t="s">
        <v>142</v>
      </c>
      <c r="I13" s="847" t="s">
        <v>142</v>
      </c>
      <c r="J13" s="1142"/>
      <c r="K13" s="851" t="s">
        <v>137</v>
      </c>
      <c r="L13" s="851" t="s">
        <v>137</v>
      </c>
      <c r="M13" s="1142"/>
      <c r="N13" s="800"/>
    </row>
    <row r="14" spans="1:23" ht="13.8">
      <c r="A14" s="737">
        <v>1</v>
      </c>
      <c r="B14" s="852" t="s">
        <v>347</v>
      </c>
      <c r="C14" s="853" t="s">
        <v>275</v>
      </c>
      <c r="D14" s="854" t="s">
        <v>348</v>
      </c>
      <c r="E14" s="854"/>
      <c r="F14" s="735">
        <v>25309</v>
      </c>
      <c r="G14" s="853" t="s">
        <v>349</v>
      </c>
      <c r="H14" s="855">
        <v>2000</v>
      </c>
      <c r="I14" s="855">
        <v>200</v>
      </c>
      <c r="J14" s="855"/>
      <c r="K14" s="855"/>
      <c r="L14" s="855"/>
      <c r="M14" s="856"/>
      <c r="N14" s="800"/>
      <c r="O14" s="50"/>
      <c r="P14" s="227"/>
      <c r="Q14" s="228"/>
      <c r="R14" s="108"/>
      <c r="S14" s="228"/>
      <c r="T14" s="108"/>
      <c r="U14" s="231"/>
      <c r="V14" s="231"/>
      <c r="W14" s="216"/>
    </row>
    <row r="15" spans="1:23" ht="13.8">
      <c r="A15" s="737">
        <v>2</v>
      </c>
      <c r="B15" s="852" t="s">
        <v>276</v>
      </c>
      <c r="C15" s="854" t="s">
        <v>277</v>
      </c>
      <c r="D15" s="854" t="s">
        <v>666</v>
      </c>
      <c r="E15" s="854"/>
      <c r="F15" s="735">
        <v>27998</v>
      </c>
      <c r="G15" s="853" t="s">
        <v>350</v>
      </c>
      <c r="H15" s="855">
        <v>500</v>
      </c>
      <c r="I15" s="855">
        <v>200</v>
      </c>
      <c r="J15" s="855"/>
      <c r="K15" s="855"/>
      <c r="L15" s="855"/>
      <c r="M15" s="856"/>
      <c r="N15" s="800"/>
      <c r="O15" s="50"/>
      <c r="P15" s="227"/>
      <c r="Q15" s="108"/>
      <c r="R15" s="228"/>
      <c r="S15" s="228"/>
      <c r="T15" s="108"/>
      <c r="U15" s="231"/>
      <c r="V15" s="231"/>
      <c r="W15" s="216"/>
    </row>
    <row r="16" spans="1:23" ht="13.8">
      <c r="A16" s="737">
        <v>3</v>
      </c>
      <c r="B16" s="852" t="s">
        <v>278</v>
      </c>
      <c r="C16" s="854" t="s">
        <v>279</v>
      </c>
      <c r="D16" s="854" t="s">
        <v>351</v>
      </c>
      <c r="E16" s="854"/>
      <c r="F16" s="736">
        <v>26680</v>
      </c>
      <c r="G16" s="853" t="s">
        <v>352</v>
      </c>
      <c r="H16" s="855">
        <v>700</v>
      </c>
      <c r="I16" s="855">
        <v>200</v>
      </c>
      <c r="J16" s="855">
        <v>1500</v>
      </c>
      <c r="K16" s="855"/>
      <c r="L16" s="855"/>
      <c r="M16" s="856"/>
      <c r="N16" s="800"/>
      <c r="O16" s="50"/>
      <c r="P16" s="227"/>
      <c r="Q16" s="108"/>
      <c r="R16" s="228"/>
      <c r="S16" s="228"/>
      <c r="T16" s="108"/>
      <c r="U16" s="231"/>
      <c r="V16" s="231"/>
      <c r="W16" s="216"/>
    </row>
    <row r="17" spans="1:23" ht="13.8">
      <c r="A17" s="737">
        <v>4</v>
      </c>
      <c r="B17" s="852" t="s">
        <v>280</v>
      </c>
      <c r="C17" s="853" t="s">
        <v>281</v>
      </c>
      <c r="D17" s="852" t="s">
        <v>353</v>
      </c>
      <c r="E17" s="852"/>
      <c r="F17" s="735">
        <v>33118</v>
      </c>
      <c r="G17" s="853" t="s">
        <v>354</v>
      </c>
      <c r="H17" s="855">
        <v>200</v>
      </c>
      <c r="I17" s="855">
        <v>200</v>
      </c>
      <c r="J17" s="855"/>
      <c r="K17" s="855"/>
      <c r="L17" s="855"/>
      <c r="M17" s="856"/>
      <c r="N17" s="800"/>
      <c r="O17" s="50"/>
      <c r="P17" s="227"/>
      <c r="Q17" s="227"/>
      <c r="R17" s="108"/>
      <c r="S17" s="227"/>
      <c r="T17" s="108"/>
      <c r="U17" s="231"/>
      <c r="V17" s="231"/>
      <c r="W17" s="216"/>
    </row>
    <row r="18" spans="1:23" ht="13.8">
      <c r="A18" s="737">
        <v>5</v>
      </c>
      <c r="B18" s="852" t="s">
        <v>282</v>
      </c>
      <c r="C18" s="852" t="s">
        <v>283</v>
      </c>
      <c r="D18" s="852" t="s">
        <v>326</v>
      </c>
      <c r="E18" s="852"/>
      <c r="F18" s="735">
        <v>23889</v>
      </c>
      <c r="G18" s="853" t="s">
        <v>355</v>
      </c>
      <c r="H18" s="855">
        <v>400</v>
      </c>
      <c r="I18" s="855">
        <v>200</v>
      </c>
      <c r="J18" s="855"/>
      <c r="K18" s="855"/>
      <c r="L18" s="855"/>
      <c r="M18" s="856"/>
      <c r="N18" s="800"/>
      <c r="O18" s="50"/>
      <c r="P18" s="227"/>
      <c r="Q18" s="227"/>
      <c r="R18" s="227"/>
      <c r="S18" s="227"/>
      <c r="T18" s="108"/>
      <c r="U18" s="231"/>
      <c r="V18" s="231"/>
      <c r="W18" s="216"/>
    </row>
    <row r="19" spans="1:23" ht="13.8">
      <c r="A19" s="737">
        <v>6</v>
      </c>
      <c r="B19" s="852" t="s">
        <v>285</v>
      </c>
      <c r="C19" s="852" t="s">
        <v>286</v>
      </c>
      <c r="D19" s="852" t="s">
        <v>356</v>
      </c>
      <c r="E19" s="852"/>
      <c r="F19" s="735">
        <v>26324</v>
      </c>
      <c r="G19" s="853" t="s">
        <v>357</v>
      </c>
      <c r="H19" s="855">
        <v>500</v>
      </c>
      <c r="I19" s="855">
        <v>200</v>
      </c>
      <c r="J19" s="855"/>
      <c r="K19" s="855"/>
      <c r="L19" s="855"/>
      <c r="M19" s="856"/>
      <c r="N19" s="800"/>
      <c r="O19" s="50"/>
      <c r="P19" s="227"/>
      <c r="Q19" s="227"/>
      <c r="R19" s="227"/>
      <c r="S19" s="227"/>
      <c r="T19" s="108"/>
      <c r="U19" s="231"/>
      <c r="V19" s="231"/>
      <c r="W19" s="216"/>
    </row>
    <row r="20" spans="1:23" ht="13.8">
      <c r="A20" s="737">
        <v>7</v>
      </c>
      <c r="B20" s="852" t="s">
        <v>287</v>
      </c>
      <c r="C20" s="854" t="s">
        <v>288</v>
      </c>
      <c r="D20" s="854" t="s">
        <v>358</v>
      </c>
      <c r="E20" s="854"/>
      <c r="F20" s="735">
        <v>28404</v>
      </c>
      <c r="G20" s="853" t="s">
        <v>359</v>
      </c>
      <c r="H20" s="855">
        <v>200</v>
      </c>
      <c r="I20" s="855">
        <v>200</v>
      </c>
      <c r="J20" s="855"/>
      <c r="K20" s="855"/>
      <c r="L20" s="855"/>
      <c r="M20" s="856"/>
      <c r="N20" s="800"/>
      <c r="O20" s="50"/>
      <c r="P20" s="227"/>
      <c r="Q20" s="108"/>
      <c r="R20" s="228"/>
      <c r="S20" s="228"/>
      <c r="T20" s="108"/>
      <c r="U20" s="231"/>
      <c r="V20" s="231"/>
      <c r="W20" s="216"/>
    </row>
    <row r="21" spans="1:23" ht="13.8">
      <c r="A21" s="737">
        <v>8</v>
      </c>
      <c r="B21" s="852" t="s">
        <v>289</v>
      </c>
      <c r="C21" s="853" t="s">
        <v>290</v>
      </c>
      <c r="D21" s="854" t="s">
        <v>360</v>
      </c>
      <c r="E21" s="854"/>
      <c r="F21" s="736">
        <v>25553</v>
      </c>
      <c r="G21" s="853" t="s">
        <v>361</v>
      </c>
      <c r="H21" s="855">
        <v>400</v>
      </c>
      <c r="I21" s="855">
        <v>200</v>
      </c>
      <c r="J21" s="855"/>
      <c r="K21" s="855"/>
      <c r="L21" s="855"/>
      <c r="M21" s="856"/>
      <c r="N21" s="800"/>
      <c r="O21" s="50"/>
      <c r="P21" s="227"/>
      <c r="Q21" s="228"/>
      <c r="R21" s="108"/>
      <c r="S21" s="228"/>
      <c r="T21" s="108"/>
      <c r="U21" s="231"/>
      <c r="V21" s="231"/>
      <c r="W21" s="216"/>
    </row>
    <row r="22" spans="1:23" ht="13.8">
      <c r="A22" s="737">
        <v>9</v>
      </c>
      <c r="B22" s="852" t="s">
        <v>561</v>
      </c>
      <c r="C22" s="854" t="s">
        <v>291</v>
      </c>
      <c r="D22" s="854" t="s">
        <v>362</v>
      </c>
      <c r="E22" s="854" t="s">
        <v>549</v>
      </c>
      <c r="F22" s="736">
        <v>26265</v>
      </c>
      <c r="G22" s="853" t="s">
        <v>363</v>
      </c>
      <c r="H22" s="855">
        <v>200</v>
      </c>
      <c r="I22" s="855">
        <v>200</v>
      </c>
      <c r="J22" s="855"/>
      <c r="K22" s="855"/>
      <c r="L22" s="855"/>
      <c r="M22" s="856"/>
      <c r="N22" s="800"/>
      <c r="O22" s="50"/>
      <c r="P22" s="227"/>
      <c r="Q22" s="108"/>
      <c r="R22" s="228"/>
      <c r="S22" s="228"/>
      <c r="T22" s="108"/>
      <c r="U22" s="231"/>
      <c r="V22" s="231"/>
      <c r="W22" s="216"/>
    </row>
    <row r="23" spans="1:23" ht="13.8">
      <c r="A23" s="737">
        <v>10</v>
      </c>
      <c r="B23" s="852" t="s">
        <v>292</v>
      </c>
      <c r="C23" s="854" t="s">
        <v>293</v>
      </c>
      <c r="D23" s="854" t="s">
        <v>364</v>
      </c>
      <c r="E23" s="854"/>
      <c r="F23" s="736">
        <v>28312</v>
      </c>
      <c r="G23" s="853" t="s">
        <v>365</v>
      </c>
      <c r="H23" s="855">
        <v>200</v>
      </c>
      <c r="I23" s="855">
        <v>200</v>
      </c>
      <c r="J23" s="855"/>
      <c r="K23" s="855"/>
      <c r="L23" s="855"/>
      <c r="M23" s="856"/>
      <c r="N23" s="800"/>
      <c r="O23" s="50"/>
      <c r="P23" s="227"/>
      <c r="Q23" s="108"/>
      <c r="R23" s="228"/>
      <c r="S23" s="228"/>
      <c r="T23" s="108"/>
      <c r="U23" s="231"/>
      <c r="V23" s="231"/>
      <c r="W23" s="216"/>
    </row>
    <row r="24" spans="1:23" ht="13.8">
      <c r="A24" s="737">
        <v>11</v>
      </c>
      <c r="B24" s="852" t="s">
        <v>294</v>
      </c>
      <c r="C24" s="854" t="s">
        <v>295</v>
      </c>
      <c r="D24" s="854" t="s">
        <v>366</v>
      </c>
      <c r="E24" s="854"/>
      <c r="F24" s="735">
        <v>35129</v>
      </c>
      <c r="G24" s="853" t="s">
        <v>367</v>
      </c>
      <c r="H24" s="855">
        <v>200</v>
      </c>
      <c r="I24" s="855">
        <v>200</v>
      </c>
      <c r="J24" s="855"/>
      <c r="K24" s="855"/>
      <c r="L24" s="855"/>
      <c r="M24" s="856"/>
      <c r="N24" s="800"/>
      <c r="O24" s="50"/>
      <c r="P24" s="227"/>
      <c r="Q24" s="108"/>
      <c r="R24" s="228"/>
      <c r="S24" s="228"/>
      <c r="T24" s="108"/>
      <c r="U24" s="231"/>
      <c r="V24" s="231"/>
      <c r="W24" s="216"/>
    </row>
    <row r="25" spans="1:23" ht="13.8">
      <c r="A25" s="737">
        <v>12</v>
      </c>
      <c r="B25" s="796" t="s">
        <v>296</v>
      </c>
      <c r="C25" s="852" t="s">
        <v>297</v>
      </c>
      <c r="D25" s="852" t="s">
        <v>550</v>
      </c>
      <c r="E25" s="852"/>
      <c r="F25" s="735">
        <v>24970</v>
      </c>
      <c r="G25" s="857" t="s">
        <v>368</v>
      </c>
      <c r="H25" s="855">
        <v>200</v>
      </c>
      <c r="I25" s="855">
        <v>200</v>
      </c>
      <c r="J25" s="855"/>
      <c r="K25" s="855">
        <v>970.5</v>
      </c>
      <c r="L25" s="855"/>
      <c r="M25" s="856"/>
      <c r="N25" s="800"/>
      <c r="O25" s="50"/>
      <c r="P25" s="227"/>
      <c r="Q25" s="108"/>
      <c r="R25" s="228"/>
      <c r="S25" s="228"/>
      <c r="T25" s="108"/>
      <c r="U25" s="231"/>
      <c r="V25" s="231"/>
      <c r="W25" s="216"/>
    </row>
    <row r="26" spans="1:23" ht="13.8">
      <c r="A26" s="737">
        <v>13</v>
      </c>
      <c r="B26" s="875" t="s">
        <v>298</v>
      </c>
      <c r="C26" s="876" t="s">
        <v>299</v>
      </c>
      <c r="D26" s="876" t="s">
        <v>369</v>
      </c>
      <c r="E26" s="876"/>
      <c r="F26" s="743">
        <v>28367</v>
      </c>
      <c r="G26" s="877" t="s">
        <v>694</v>
      </c>
      <c r="H26" s="932">
        <v>200</v>
      </c>
      <c r="I26" s="932">
        <v>200</v>
      </c>
      <c r="J26" s="932"/>
      <c r="K26" s="932"/>
      <c r="L26" s="932"/>
      <c r="M26" s="933"/>
      <c r="N26" s="800"/>
      <c r="O26" s="50"/>
      <c r="P26" s="227"/>
      <c r="Q26" s="108"/>
      <c r="R26" s="228"/>
      <c r="S26" s="228"/>
      <c r="T26" s="108"/>
      <c r="U26" s="231"/>
      <c r="V26" s="231"/>
      <c r="W26" s="216"/>
    </row>
    <row r="27" spans="1:23" ht="13.8">
      <c r="A27" s="737">
        <v>14</v>
      </c>
      <c r="B27" s="852" t="s">
        <v>300</v>
      </c>
      <c r="C27" s="854" t="s">
        <v>301</v>
      </c>
      <c r="D27" s="854" t="s">
        <v>366</v>
      </c>
      <c r="E27" s="854"/>
      <c r="F27" s="735">
        <v>22487</v>
      </c>
      <c r="G27" s="852" t="s">
        <v>370</v>
      </c>
      <c r="H27" s="855">
        <v>200</v>
      </c>
      <c r="I27" s="855">
        <v>200</v>
      </c>
      <c r="J27" s="855"/>
      <c r="K27" s="855"/>
      <c r="L27" s="855"/>
      <c r="M27" s="856"/>
      <c r="N27" s="800"/>
      <c r="O27" s="50"/>
      <c r="P27" s="227"/>
      <c r="Q27" s="228"/>
      <c r="R27" s="108"/>
      <c r="S27" s="228"/>
      <c r="T27" s="108"/>
      <c r="U27" s="231"/>
      <c r="V27" s="231"/>
      <c r="W27" s="216"/>
    </row>
    <row r="28" spans="1:23" ht="13.8">
      <c r="A28" s="737">
        <v>15</v>
      </c>
      <c r="B28" s="852" t="s">
        <v>302</v>
      </c>
      <c r="C28" s="854" t="s">
        <v>303</v>
      </c>
      <c r="D28" s="854" t="s">
        <v>371</v>
      </c>
      <c r="E28" s="854"/>
      <c r="F28" s="735">
        <v>30185</v>
      </c>
      <c r="G28" s="852" t="s">
        <v>372</v>
      </c>
      <c r="H28" s="855">
        <v>200</v>
      </c>
      <c r="I28" s="855">
        <v>200</v>
      </c>
      <c r="J28" s="855"/>
      <c r="K28" s="855"/>
      <c r="L28" s="855"/>
      <c r="M28" s="856"/>
      <c r="N28" s="800"/>
      <c r="O28" s="50"/>
      <c r="P28" s="227"/>
      <c r="Q28" s="228"/>
      <c r="R28" s="108"/>
      <c r="S28" s="228"/>
      <c r="T28" s="108"/>
      <c r="U28" s="231"/>
      <c r="V28" s="231"/>
      <c r="W28" s="216"/>
    </row>
    <row r="29" spans="1:23" ht="13.8">
      <c r="A29" s="737">
        <v>16</v>
      </c>
      <c r="B29" s="852" t="s">
        <v>304</v>
      </c>
      <c r="C29" s="853" t="s">
        <v>305</v>
      </c>
      <c r="D29" s="852" t="s">
        <v>296</v>
      </c>
      <c r="E29" s="852"/>
      <c r="F29" s="735">
        <v>34606</v>
      </c>
      <c r="G29" s="852" t="s">
        <v>373</v>
      </c>
      <c r="H29" s="855">
        <v>200</v>
      </c>
      <c r="I29" s="855">
        <v>200</v>
      </c>
      <c r="J29" s="855"/>
      <c r="K29" s="855"/>
      <c r="L29" s="855"/>
      <c r="M29" s="856"/>
      <c r="N29" s="800"/>
      <c r="O29" s="50"/>
      <c r="P29" s="227"/>
      <c r="Q29" s="227"/>
      <c r="R29" s="108"/>
      <c r="S29" s="227"/>
      <c r="T29" s="227"/>
      <c r="U29" s="231"/>
      <c r="V29" s="231"/>
      <c r="W29" s="216"/>
    </row>
    <row r="30" spans="1:23" ht="13.8">
      <c r="A30" s="737">
        <v>17</v>
      </c>
      <c r="B30" s="796" t="s">
        <v>306</v>
      </c>
      <c r="C30" s="852" t="s">
        <v>307</v>
      </c>
      <c r="D30" s="852" t="s">
        <v>374</v>
      </c>
      <c r="E30" s="852"/>
      <c r="F30" s="735">
        <v>35890</v>
      </c>
      <c r="G30" s="857" t="s">
        <v>375</v>
      </c>
      <c r="H30" s="855">
        <v>200</v>
      </c>
      <c r="I30" s="855">
        <v>200</v>
      </c>
      <c r="J30" s="855"/>
      <c r="K30" s="855"/>
      <c r="L30" s="855"/>
      <c r="M30" s="856"/>
      <c r="N30" s="800"/>
      <c r="O30" s="50"/>
      <c r="P30" s="227"/>
      <c r="Q30" s="227"/>
      <c r="R30" s="108"/>
      <c r="S30" s="227"/>
      <c r="T30" s="227"/>
      <c r="U30" s="231"/>
      <c r="V30" s="231"/>
      <c r="W30" s="216"/>
    </row>
    <row r="31" spans="1:23" ht="13.8">
      <c r="A31" s="742"/>
      <c r="B31" s="858"/>
      <c r="C31" s="859"/>
      <c r="D31" s="860"/>
      <c r="E31" s="860"/>
      <c r="F31" s="860"/>
      <c r="G31" s="859"/>
      <c r="H31" s="855">
        <f>SUM(H14:H30)</f>
        <v>6700</v>
      </c>
      <c r="I31" s="855">
        <f>SUM(I14:I30)</f>
        <v>3400</v>
      </c>
      <c r="J31" s="855">
        <f>SUM(J14:J30)</f>
        <v>1500</v>
      </c>
      <c r="K31" s="855">
        <f>SUM(K14:K30)</f>
        <v>970.5</v>
      </c>
      <c r="L31" s="855"/>
      <c r="M31" s="855"/>
      <c r="N31" s="800"/>
      <c r="O31" s="50"/>
      <c r="P31" s="114"/>
      <c r="Q31" s="108"/>
      <c r="R31" s="229"/>
      <c r="S31" s="230"/>
      <c r="T31" s="229"/>
      <c r="U31" s="231"/>
      <c r="V31" s="231"/>
      <c r="W31" s="231"/>
    </row>
    <row r="32" spans="1:23" ht="13.8">
      <c r="A32" s="739"/>
      <c r="B32" s="861"/>
      <c r="C32" s="862"/>
      <c r="D32" s="863" t="s">
        <v>273</v>
      </c>
      <c r="E32" s="863"/>
      <c r="F32" s="863"/>
      <c r="G32" s="847"/>
      <c r="H32" s="864">
        <f>SUM(H31)</f>
        <v>6700</v>
      </c>
      <c r="I32" s="864">
        <f>SUM(I31)</f>
        <v>3400</v>
      </c>
      <c r="J32" s="864">
        <f>SUM(J31)</f>
        <v>1500</v>
      </c>
      <c r="K32" s="864">
        <f>SUM(K31)</f>
        <v>970.5</v>
      </c>
      <c r="L32" s="864"/>
      <c r="M32" s="865"/>
      <c r="N32" s="800"/>
      <c r="O32" s="50"/>
      <c r="P32" s="114"/>
      <c r="Q32" s="116"/>
      <c r="R32" s="116"/>
      <c r="S32" s="116"/>
      <c r="T32" s="116"/>
      <c r="U32" s="232"/>
      <c r="V32" s="232"/>
      <c r="W32" s="232"/>
    </row>
    <row r="33" spans="1:22" ht="13.8">
      <c r="A33" s="834"/>
      <c r="B33" s="866"/>
      <c r="C33" s="867"/>
      <c r="D33" s="867"/>
      <c r="E33" s="867"/>
      <c r="F33" s="867"/>
      <c r="G33" s="867"/>
      <c r="H33" s="867"/>
      <c r="I33" s="867"/>
      <c r="J33" s="867"/>
      <c r="K33" s="867"/>
      <c r="L33" s="867"/>
      <c r="M33" s="867"/>
      <c r="N33" s="800"/>
    </row>
    <row r="34" spans="1:22" ht="13.8">
      <c r="A34" s="834"/>
      <c r="B34" s="867"/>
      <c r="C34" s="867"/>
      <c r="D34" s="867"/>
      <c r="E34" s="867"/>
      <c r="F34" s="867"/>
      <c r="G34" s="867"/>
      <c r="H34" s="867"/>
      <c r="I34" s="867"/>
      <c r="J34" s="867"/>
      <c r="K34" s="867"/>
      <c r="L34" s="867"/>
      <c r="M34" s="867"/>
      <c r="N34" s="800"/>
    </row>
    <row r="35" spans="1:22" ht="13.8">
      <c r="A35" s="834"/>
      <c r="B35" s="867"/>
      <c r="C35" s="867"/>
      <c r="D35" s="867"/>
      <c r="E35" s="867"/>
      <c r="F35" s="867"/>
      <c r="G35" s="867"/>
      <c r="H35" s="867"/>
      <c r="I35" s="867"/>
      <c r="J35" s="867"/>
      <c r="K35" s="867"/>
      <c r="L35" s="867"/>
      <c r="M35" s="867"/>
      <c r="N35" s="800"/>
    </row>
    <row r="36" spans="1:22" ht="13.8">
      <c r="A36" s="834"/>
      <c r="B36" s="867"/>
      <c r="C36" s="867"/>
      <c r="D36" s="867"/>
      <c r="E36" s="867"/>
      <c r="F36" s="867"/>
      <c r="G36" s="867"/>
      <c r="H36" s="867"/>
      <c r="I36" s="867"/>
      <c r="J36" s="867"/>
      <c r="K36" s="867"/>
      <c r="L36" s="867"/>
      <c r="M36" s="867"/>
      <c r="N36" s="800"/>
    </row>
    <row r="37" spans="1:22" ht="13.8">
      <c r="A37" s="834"/>
      <c r="B37" s="867"/>
      <c r="C37" s="867"/>
      <c r="D37" s="867"/>
      <c r="E37" s="867"/>
      <c r="F37" s="867"/>
      <c r="G37" s="867"/>
      <c r="H37" s="867"/>
      <c r="I37" s="867"/>
      <c r="J37" s="867"/>
      <c r="K37" s="867"/>
      <c r="L37" s="867"/>
      <c r="M37" s="867"/>
      <c r="N37" s="800"/>
    </row>
    <row r="38" spans="1:22">
      <c r="B38" s="116"/>
      <c r="C38" s="116"/>
      <c r="D38" s="116"/>
      <c r="E38" s="116"/>
      <c r="F38" s="116"/>
      <c r="G38" s="116"/>
      <c r="H38" s="116"/>
      <c r="I38" s="116"/>
      <c r="J38" s="116"/>
      <c r="K38" s="116"/>
      <c r="L38" s="116"/>
      <c r="M38" s="116"/>
      <c r="N38" s="108"/>
    </row>
    <row r="39" spans="1:22">
      <c r="B39" s="116"/>
      <c r="C39" s="116"/>
      <c r="D39" s="116"/>
      <c r="E39" s="116"/>
      <c r="F39" s="116"/>
      <c r="G39" s="116"/>
      <c r="H39" s="116"/>
      <c r="I39" s="116"/>
      <c r="J39" s="116"/>
      <c r="K39" s="116"/>
      <c r="L39" s="116"/>
      <c r="M39" s="116"/>
      <c r="N39" s="108"/>
    </row>
    <row r="40" spans="1:22">
      <c r="B40" s="116"/>
      <c r="C40" s="116"/>
      <c r="D40" s="116"/>
      <c r="E40" s="116"/>
      <c r="F40" s="116"/>
      <c r="G40" s="116"/>
      <c r="H40" s="116"/>
      <c r="I40" s="116"/>
      <c r="J40" s="116"/>
      <c r="K40" s="116"/>
      <c r="L40" s="116"/>
      <c r="M40" s="116"/>
      <c r="N40" s="108"/>
    </row>
    <row r="41" spans="1:22">
      <c r="A41" s="573"/>
      <c r="B41" s="573"/>
      <c r="C41" s="573"/>
      <c r="D41" s="1137"/>
      <c r="E41" s="1137"/>
      <c r="F41" s="1137"/>
      <c r="G41" s="1137"/>
      <c r="H41" s="1137"/>
      <c r="I41" s="1137"/>
      <c r="J41" s="1137"/>
      <c r="K41" s="572"/>
      <c r="L41" s="572"/>
      <c r="M41" s="572"/>
      <c r="N41" s="572"/>
      <c r="O41" s="572"/>
      <c r="P41" s="572"/>
      <c r="Q41" s="80"/>
      <c r="R41" s="80"/>
      <c r="S41" s="80"/>
      <c r="T41" s="80"/>
      <c r="U41" s="80"/>
      <c r="V41" s="80"/>
    </row>
    <row r="42" spans="1:22" ht="15.6">
      <c r="A42" s="89"/>
      <c r="B42" s="89"/>
      <c r="C42" s="1131"/>
      <c r="D42" s="1131"/>
      <c r="E42" s="1131"/>
      <c r="F42" s="1131"/>
      <c r="G42" s="1131"/>
      <c r="H42" s="1131"/>
      <c r="I42" s="1131"/>
      <c r="J42" s="1131"/>
      <c r="K42" s="1131"/>
      <c r="L42" s="1131"/>
      <c r="M42" s="1131"/>
      <c r="N42" s="588"/>
      <c r="O42" s="588"/>
      <c r="P42" s="588"/>
      <c r="Q42" s="80"/>
      <c r="R42" s="80"/>
      <c r="S42" s="80"/>
      <c r="T42" s="80"/>
      <c r="U42" s="80"/>
      <c r="V42" s="80"/>
    </row>
    <row r="43" spans="1:22" ht="15.6">
      <c r="A43" s="89"/>
      <c r="B43" s="89"/>
      <c r="C43" s="1132" t="s">
        <v>342</v>
      </c>
      <c r="D43" s="1132"/>
      <c r="E43" s="1132"/>
      <c r="F43" s="1132"/>
      <c r="G43" s="1132"/>
      <c r="H43" s="1132"/>
      <c r="I43" s="1132"/>
      <c r="J43" s="1132"/>
      <c r="K43" s="1132"/>
      <c r="L43" s="1132"/>
      <c r="M43" s="1132"/>
      <c r="N43" s="589"/>
      <c r="O43" s="589"/>
      <c r="P43" s="589"/>
      <c r="Q43" s="80"/>
      <c r="R43" s="80"/>
      <c r="S43" s="80"/>
      <c r="T43" s="80"/>
      <c r="U43" s="80"/>
      <c r="V43" s="80"/>
    </row>
    <row r="44" spans="1:22">
      <c r="A44" s="972"/>
      <c r="B44" s="972"/>
      <c r="C44" s="972"/>
      <c r="D44" s="972"/>
      <c r="E44" s="972"/>
      <c r="F44" s="972"/>
      <c r="G44" s="972"/>
      <c r="H44" s="972"/>
      <c r="I44" s="972"/>
      <c r="J44" s="972"/>
      <c r="K44" s="972"/>
      <c r="L44" s="972"/>
      <c r="M44" s="972"/>
      <c r="N44" s="972"/>
      <c r="O44" s="972"/>
      <c r="P44" s="972"/>
      <c r="Q44" s="972"/>
      <c r="R44" s="972"/>
      <c r="S44" s="972"/>
      <c r="T44" s="972"/>
      <c r="U44" s="972"/>
      <c r="V44" s="972"/>
    </row>
    <row r="45" spans="1:22">
      <c r="A45" s="1128" t="s">
        <v>595</v>
      </c>
      <c r="B45" s="1128"/>
      <c r="C45" s="1128"/>
      <c r="D45" s="1128"/>
      <c r="E45" s="1128"/>
      <c r="F45" s="1128"/>
      <c r="G45" s="1128"/>
      <c r="H45" s="1128"/>
      <c r="I45" s="1128"/>
      <c r="J45" s="1128"/>
      <c r="K45" s="1128"/>
      <c r="L45" s="1128"/>
      <c r="M45" s="1128"/>
      <c r="N45" s="1128"/>
      <c r="O45" s="1128"/>
      <c r="P45" s="1128"/>
      <c r="Q45" s="1128"/>
      <c r="R45" s="1128"/>
      <c r="S45" s="1128"/>
      <c r="T45" s="1128"/>
      <c r="U45" s="1128"/>
      <c r="V45" s="1128"/>
    </row>
    <row r="46" spans="1:22">
      <c r="A46" s="1138" t="s">
        <v>708</v>
      </c>
      <c r="B46" s="1138"/>
      <c r="C46" s="1138"/>
      <c r="D46" s="1138"/>
      <c r="E46" s="1138"/>
      <c r="F46" s="1138"/>
      <c r="G46" s="1138"/>
      <c r="H46" s="1138"/>
      <c r="I46" s="1138"/>
      <c r="J46" s="1138"/>
      <c r="K46" s="1138"/>
      <c r="L46" s="1138"/>
      <c r="M46" s="1138"/>
      <c r="N46" s="1138"/>
      <c r="O46" s="1138"/>
      <c r="P46" s="1138"/>
      <c r="Q46" s="1138"/>
      <c r="R46" s="1138"/>
      <c r="S46" s="1138"/>
      <c r="T46" s="1138"/>
      <c r="U46" s="1138"/>
      <c r="V46" s="1138"/>
    </row>
    <row r="47" spans="1:22">
      <c r="B47" s="116"/>
      <c r="C47" s="116"/>
      <c r="D47" s="116"/>
      <c r="E47" s="116"/>
      <c r="F47" s="116"/>
      <c r="G47" s="116"/>
      <c r="H47" s="116"/>
      <c r="I47" s="116"/>
      <c r="J47" s="116"/>
      <c r="K47" s="116"/>
      <c r="L47" s="116"/>
      <c r="M47" s="116"/>
      <c r="N47" s="108"/>
    </row>
    <row r="48" spans="1:22" ht="13.8">
      <c r="A48" s="600" t="s">
        <v>418</v>
      </c>
      <c r="B48" s="1139" t="s">
        <v>538</v>
      </c>
      <c r="C48" s="1139" t="s">
        <v>344</v>
      </c>
      <c r="D48" s="1139" t="s">
        <v>589</v>
      </c>
      <c r="E48" s="844" t="s">
        <v>590</v>
      </c>
      <c r="F48" s="1139" t="s">
        <v>540</v>
      </c>
      <c r="G48" s="845" t="s">
        <v>591</v>
      </c>
      <c r="H48" s="868" t="s">
        <v>131</v>
      </c>
      <c r="I48" s="848" t="s">
        <v>346</v>
      </c>
      <c r="J48" s="1141" t="s">
        <v>134</v>
      </c>
      <c r="K48" s="848" t="s">
        <v>128</v>
      </c>
      <c r="L48" s="848" t="s">
        <v>593</v>
      </c>
      <c r="M48" s="1141" t="s">
        <v>594</v>
      </c>
      <c r="N48" s="800"/>
    </row>
    <row r="49" spans="1:24" ht="13.8">
      <c r="A49" s="27"/>
      <c r="B49" s="1140"/>
      <c r="C49" s="1140"/>
      <c r="D49" s="1140"/>
      <c r="E49" s="849" t="s">
        <v>539</v>
      </c>
      <c r="F49" s="1140"/>
      <c r="G49" s="850" t="s">
        <v>592</v>
      </c>
      <c r="H49" s="869" t="s">
        <v>142</v>
      </c>
      <c r="I49" s="870" t="s">
        <v>142</v>
      </c>
      <c r="J49" s="1142"/>
      <c r="K49" s="851" t="s">
        <v>137</v>
      </c>
      <c r="L49" s="851" t="s">
        <v>137</v>
      </c>
      <c r="M49" s="1142"/>
      <c r="N49" s="800"/>
    </row>
    <row r="50" spans="1:24" ht="13.8">
      <c r="A50" s="31">
        <v>18</v>
      </c>
      <c r="B50" s="852" t="s">
        <v>667</v>
      </c>
      <c r="C50" s="854" t="s">
        <v>309</v>
      </c>
      <c r="D50" s="854" t="s">
        <v>377</v>
      </c>
      <c r="E50" s="854"/>
      <c r="F50" s="735">
        <v>22351</v>
      </c>
      <c r="G50" s="853" t="s">
        <v>378</v>
      </c>
      <c r="H50" s="871">
        <v>200</v>
      </c>
      <c r="I50" s="871">
        <v>200</v>
      </c>
      <c r="J50" s="871"/>
      <c r="K50" s="871"/>
      <c r="L50" s="871"/>
      <c r="M50" s="856"/>
      <c r="N50" s="800"/>
      <c r="P50" s="50"/>
      <c r="Q50" s="227"/>
      <c r="R50" s="108"/>
      <c r="S50" s="228"/>
      <c r="T50" s="228"/>
      <c r="U50" s="108"/>
      <c r="V50" s="231"/>
      <c r="W50" s="231"/>
      <c r="X50" s="216"/>
    </row>
    <row r="51" spans="1:24" ht="13.8">
      <c r="A51" s="31">
        <v>19</v>
      </c>
      <c r="B51" s="852" t="s">
        <v>310</v>
      </c>
      <c r="C51" s="853" t="s">
        <v>311</v>
      </c>
      <c r="D51" s="854" t="s">
        <v>379</v>
      </c>
      <c r="E51" s="854"/>
      <c r="F51" s="735">
        <v>29908</v>
      </c>
      <c r="G51" s="853" t="s">
        <v>380</v>
      </c>
      <c r="H51" s="871">
        <v>200</v>
      </c>
      <c r="I51" s="871">
        <v>200</v>
      </c>
      <c r="J51" s="871"/>
      <c r="K51" s="871"/>
      <c r="L51" s="871"/>
      <c r="M51" s="856"/>
      <c r="N51" s="800"/>
      <c r="P51" s="50"/>
      <c r="Q51" s="227"/>
      <c r="R51" s="108"/>
      <c r="S51" s="228"/>
      <c r="T51" s="228"/>
      <c r="U51" s="108"/>
      <c r="V51" s="231"/>
      <c r="W51" s="231"/>
      <c r="X51" s="216"/>
    </row>
    <row r="52" spans="1:24" ht="13.8">
      <c r="A52" s="31">
        <v>20</v>
      </c>
      <c r="B52" s="852" t="s">
        <v>312</v>
      </c>
      <c r="C52" s="854" t="s">
        <v>313</v>
      </c>
      <c r="D52" s="854" t="s">
        <v>381</v>
      </c>
      <c r="E52" s="854"/>
      <c r="F52" s="735">
        <v>27392</v>
      </c>
      <c r="G52" s="853" t="s">
        <v>382</v>
      </c>
      <c r="H52" s="871">
        <v>200</v>
      </c>
      <c r="I52" s="871">
        <v>200</v>
      </c>
      <c r="J52" s="871"/>
      <c r="K52" s="871"/>
      <c r="L52" s="871"/>
      <c r="M52" s="856"/>
      <c r="N52" s="800"/>
      <c r="P52" s="50"/>
      <c r="Q52" s="227"/>
      <c r="R52" s="228"/>
      <c r="S52" s="108"/>
      <c r="T52" s="228"/>
      <c r="U52" s="108"/>
      <c r="V52" s="231"/>
      <c r="W52" s="231"/>
      <c r="X52" s="216"/>
    </row>
    <row r="53" spans="1:24" ht="13.8">
      <c r="A53" s="31">
        <v>21</v>
      </c>
      <c r="B53" s="852" t="s">
        <v>314</v>
      </c>
      <c r="C53" s="853" t="s">
        <v>315</v>
      </c>
      <c r="D53" s="854" t="s">
        <v>383</v>
      </c>
      <c r="E53" s="854"/>
      <c r="F53" s="735">
        <v>29471</v>
      </c>
      <c r="G53" s="853" t="s">
        <v>384</v>
      </c>
      <c r="H53" s="871">
        <v>200</v>
      </c>
      <c r="I53" s="871">
        <v>200</v>
      </c>
      <c r="J53" s="871"/>
      <c r="K53" s="871"/>
      <c r="L53" s="871"/>
      <c r="M53" s="856"/>
      <c r="N53" s="800"/>
      <c r="P53" s="50"/>
      <c r="Q53" s="227"/>
      <c r="R53" s="108"/>
      <c r="S53" s="228"/>
      <c r="T53" s="228"/>
      <c r="U53" s="108"/>
      <c r="V53" s="231"/>
      <c r="W53" s="231"/>
      <c r="X53" s="216"/>
    </row>
    <row r="54" spans="1:24" ht="13.8">
      <c r="A54" s="31">
        <v>22</v>
      </c>
      <c r="B54" s="796" t="s">
        <v>316</v>
      </c>
      <c r="C54" s="852" t="s">
        <v>317</v>
      </c>
      <c r="D54" s="852" t="s">
        <v>385</v>
      </c>
      <c r="E54" s="852"/>
      <c r="F54" s="735">
        <v>25794</v>
      </c>
      <c r="G54" s="852" t="s">
        <v>386</v>
      </c>
      <c r="H54" s="871">
        <v>200</v>
      </c>
      <c r="I54" s="871">
        <v>200</v>
      </c>
      <c r="J54" s="871">
        <v>7517.71</v>
      </c>
      <c r="K54" s="871"/>
      <c r="L54" s="871"/>
      <c r="M54" s="856"/>
      <c r="N54" s="800"/>
      <c r="P54" s="50"/>
      <c r="Q54" s="227"/>
      <c r="R54" s="228"/>
      <c r="S54" s="108"/>
      <c r="T54" s="228"/>
      <c r="U54" s="108"/>
      <c r="V54" s="231"/>
      <c r="W54" s="231"/>
      <c r="X54" s="216"/>
    </row>
    <row r="55" spans="1:24" ht="13.8">
      <c r="A55" s="31">
        <v>23</v>
      </c>
      <c r="B55" s="796" t="s">
        <v>318</v>
      </c>
      <c r="C55" s="852" t="s">
        <v>319</v>
      </c>
      <c r="D55" s="852" t="s">
        <v>387</v>
      </c>
      <c r="E55" s="852"/>
      <c r="F55" s="735">
        <v>28448</v>
      </c>
      <c r="G55" s="872" t="s">
        <v>388</v>
      </c>
      <c r="H55" s="871">
        <v>200</v>
      </c>
      <c r="I55" s="871">
        <v>200</v>
      </c>
      <c r="J55" s="871"/>
      <c r="K55" s="871"/>
      <c r="L55" s="871"/>
      <c r="M55" s="856"/>
      <c r="N55" s="800"/>
      <c r="P55" s="50"/>
      <c r="Q55" s="227"/>
      <c r="R55" s="228"/>
      <c r="S55" s="108"/>
      <c r="T55" s="228"/>
      <c r="U55" s="108"/>
      <c r="V55" s="231"/>
      <c r="W55" s="231"/>
      <c r="X55" s="216"/>
    </row>
    <row r="56" spans="1:24" ht="13.8">
      <c r="A56" s="31">
        <v>24</v>
      </c>
      <c r="B56" s="796" t="s">
        <v>320</v>
      </c>
      <c r="C56" s="852" t="s">
        <v>321</v>
      </c>
      <c r="D56" s="852" t="s">
        <v>389</v>
      </c>
      <c r="E56" s="852"/>
      <c r="F56" s="735">
        <v>33010</v>
      </c>
      <c r="G56" s="873" t="s">
        <v>390</v>
      </c>
      <c r="H56" s="871">
        <v>200</v>
      </c>
      <c r="I56" s="871">
        <v>200</v>
      </c>
      <c r="J56" s="871"/>
      <c r="K56" s="871"/>
      <c r="L56" s="871"/>
      <c r="M56" s="856"/>
      <c r="N56" s="800"/>
      <c r="P56" s="50"/>
      <c r="Q56" s="227"/>
      <c r="R56" s="108"/>
      <c r="S56" s="228"/>
      <c r="T56" s="228"/>
      <c r="U56" s="108"/>
      <c r="V56" s="231"/>
      <c r="W56" s="231"/>
      <c r="X56" s="216"/>
    </row>
    <row r="57" spans="1:24" ht="13.8">
      <c r="A57" s="31">
        <v>25</v>
      </c>
      <c r="B57" s="852" t="s">
        <v>323</v>
      </c>
      <c r="C57" s="853" t="s">
        <v>283</v>
      </c>
      <c r="D57" s="852" t="s">
        <v>391</v>
      </c>
      <c r="E57" s="852"/>
      <c r="F57" s="735">
        <v>22944</v>
      </c>
      <c r="G57" s="853" t="s">
        <v>392</v>
      </c>
      <c r="H57" s="871">
        <v>200</v>
      </c>
      <c r="I57" s="871">
        <v>200</v>
      </c>
      <c r="J57" s="871"/>
      <c r="K57" s="871"/>
      <c r="L57" s="871"/>
      <c r="M57" s="856"/>
      <c r="N57" s="800"/>
      <c r="P57" s="50"/>
      <c r="Q57" s="227"/>
      <c r="R57" s="108"/>
      <c r="S57" s="228"/>
      <c r="T57" s="228"/>
      <c r="U57" s="108"/>
      <c r="V57" s="231"/>
      <c r="W57" s="231"/>
      <c r="X57" s="216"/>
    </row>
    <row r="58" spans="1:24" ht="13.8">
      <c r="A58" s="31">
        <v>26</v>
      </c>
      <c r="B58" s="796" t="s">
        <v>324</v>
      </c>
      <c r="C58" s="852" t="s">
        <v>325</v>
      </c>
      <c r="D58" s="852" t="s">
        <v>393</v>
      </c>
      <c r="E58" s="852"/>
      <c r="F58" s="735">
        <v>22990</v>
      </c>
      <c r="G58" s="853" t="s">
        <v>394</v>
      </c>
      <c r="H58" s="871">
        <v>200</v>
      </c>
      <c r="I58" s="871">
        <v>200</v>
      </c>
      <c r="J58" s="871"/>
      <c r="K58" s="871"/>
      <c r="L58" s="871"/>
      <c r="M58" s="856"/>
      <c r="N58" s="800"/>
      <c r="P58" s="50"/>
      <c r="Q58" s="227"/>
      <c r="R58" s="108"/>
      <c r="S58" s="228"/>
      <c r="T58" s="228"/>
      <c r="U58" s="108"/>
      <c r="V58" s="231"/>
      <c r="W58" s="231"/>
      <c r="X58" s="216"/>
    </row>
    <row r="59" spans="1:24" ht="13.8">
      <c r="A59" s="31">
        <v>27</v>
      </c>
      <c r="B59" s="796" t="s">
        <v>326</v>
      </c>
      <c r="C59" s="852" t="s">
        <v>327</v>
      </c>
      <c r="D59" s="852" t="s">
        <v>395</v>
      </c>
      <c r="E59" s="852"/>
      <c r="F59" s="735">
        <v>23033</v>
      </c>
      <c r="G59" s="872" t="s">
        <v>396</v>
      </c>
      <c r="H59" s="871">
        <v>200</v>
      </c>
      <c r="I59" s="871">
        <v>200</v>
      </c>
      <c r="J59" s="871"/>
      <c r="K59" s="871"/>
      <c r="L59" s="871"/>
      <c r="M59" s="856"/>
      <c r="N59" s="800"/>
      <c r="P59" s="50"/>
      <c r="Q59" s="227"/>
      <c r="R59" s="228"/>
      <c r="S59" s="108"/>
      <c r="T59" s="228"/>
      <c r="U59" s="108"/>
      <c r="V59" s="231"/>
      <c r="W59" s="231"/>
      <c r="X59" s="216"/>
    </row>
    <row r="60" spans="1:24" ht="13.8">
      <c r="A60" s="31">
        <v>28</v>
      </c>
      <c r="B60" s="796" t="s">
        <v>328</v>
      </c>
      <c r="C60" s="852" t="s">
        <v>329</v>
      </c>
      <c r="D60" s="852" t="s">
        <v>397</v>
      </c>
      <c r="E60" s="852"/>
      <c r="F60" s="735">
        <v>35258</v>
      </c>
      <c r="G60" s="873" t="s">
        <v>398</v>
      </c>
      <c r="H60" s="871">
        <v>200</v>
      </c>
      <c r="I60" s="871">
        <v>200</v>
      </c>
      <c r="J60" s="871"/>
      <c r="K60" s="871"/>
      <c r="L60" s="871"/>
      <c r="M60" s="856"/>
      <c r="N60" s="800"/>
      <c r="P60" s="50"/>
      <c r="Q60" s="227"/>
      <c r="R60" s="108"/>
      <c r="S60" s="228"/>
      <c r="T60" s="228"/>
      <c r="U60" s="108"/>
      <c r="V60" s="231"/>
      <c r="W60" s="231"/>
      <c r="X60" s="216"/>
    </row>
    <row r="61" spans="1:24" ht="13.8">
      <c r="A61" s="31">
        <v>29</v>
      </c>
      <c r="B61" s="852" t="s">
        <v>330</v>
      </c>
      <c r="C61" s="853" t="s">
        <v>331</v>
      </c>
      <c r="D61" s="854" t="s">
        <v>399</v>
      </c>
      <c r="E61" s="854"/>
      <c r="F61" s="735">
        <v>32178</v>
      </c>
      <c r="G61" s="853" t="s">
        <v>400</v>
      </c>
      <c r="H61" s="871">
        <v>200</v>
      </c>
      <c r="I61" s="871">
        <v>200</v>
      </c>
      <c r="J61" s="871"/>
      <c r="K61" s="871"/>
      <c r="L61" s="871"/>
      <c r="M61" s="856"/>
      <c r="N61" s="800"/>
      <c r="P61" s="50"/>
      <c r="Q61" s="114"/>
      <c r="R61" s="108"/>
      <c r="S61" s="227"/>
      <c r="T61" s="227"/>
      <c r="U61" s="233"/>
      <c r="V61" s="231"/>
      <c r="W61" s="231"/>
      <c r="X61" s="216"/>
    </row>
    <row r="62" spans="1:24" ht="13.8">
      <c r="A62" s="31">
        <v>30</v>
      </c>
      <c r="B62" s="796" t="s">
        <v>332</v>
      </c>
      <c r="C62" s="852" t="s">
        <v>333</v>
      </c>
      <c r="D62" s="852" t="s">
        <v>401</v>
      </c>
      <c r="E62" s="852"/>
      <c r="F62" s="735">
        <v>23386</v>
      </c>
      <c r="G62" s="872" t="s">
        <v>402</v>
      </c>
      <c r="H62" s="871">
        <v>200</v>
      </c>
      <c r="I62" s="871">
        <v>200</v>
      </c>
      <c r="J62" s="871"/>
      <c r="K62" s="871"/>
      <c r="L62" s="871"/>
      <c r="M62" s="856"/>
      <c r="N62" s="800"/>
      <c r="P62" s="50"/>
      <c r="Q62" s="114"/>
      <c r="R62" s="108"/>
      <c r="S62" s="227"/>
      <c r="T62" s="227"/>
      <c r="U62" s="233"/>
      <c r="V62" s="231"/>
      <c r="W62" s="231"/>
      <c r="X62" s="216"/>
    </row>
    <row r="63" spans="1:24" ht="13.8">
      <c r="A63" s="31">
        <v>31</v>
      </c>
      <c r="B63" s="796" t="s">
        <v>334</v>
      </c>
      <c r="C63" s="852" t="s">
        <v>335</v>
      </c>
      <c r="D63" s="852" t="s">
        <v>403</v>
      </c>
      <c r="E63" s="852"/>
      <c r="F63" s="735">
        <v>27602</v>
      </c>
      <c r="G63" s="874" t="s">
        <v>404</v>
      </c>
      <c r="H63" s="871">
        <v>200</v>
      </c>
      <c r="I63" s="871">
        <v>200</v>
      </c>
      <c r="J63" s="871"/>
      <c r="K63" s="871"/>
      <c r="L63" s="871"/>
      <c r="M63" s="856"/>
      <c r="N63" s="800"/>
      <c r="P63" s="50"/>
      <c r="Q63" s="114"/>
      <c r="R63" s="108"/>
      <c r="S63" s="227"/>
      <c r="T63" s="227"/>
      <c r="U63" s="233"/>
      <c r="V63" s="231"/>
      <c r="W63" s="231"/>
      <c r="X63" s="216"/>
    </row>
    <row r="64" spans="1:24" ht="13.8">
      <c r="A64" s="31">
        <v>32</v>
      </c>
      <c r="B64" s="796" t="s">
        <v>336</v>
      </c>
      <c r="C64" s="852" t="s">
        <v>337</v>
      </c>
      <c r="D64" s="852" t="s">
        <v>405</v>
      </c>
      <c r="E64" s="852"/>
      <c r="F64" s="735">
        <v>33486</v>
      </c>
      <c r="G64" s="873" t="s">
        <v>406</v>
      </c>
      <c r="H64" s="871">
        <v>200</v>
      </c>
      <c r="I64" s="871">
        <v>200</v>
      </c>
      <c r="J64" s="871"/>
      <c r="K64" s="871"/>
      <c r="L64" s="871"/>
      <c r="M64" s="856"/>
      <c r="N64" s="800"/>
      <c r="P64" s="50"/>
      <c r="Q64" s="114"/>
      <c r="R64" s="108"/>
      <c r="S64" s="227"/>
      <c r="T64" s="227"/>
      <c r="U64" s="234"/>
      <c r="V64" s="231"/>
      <c r="W64" s="231"/>
      <c r="X64" s="216"/>
    </row>
    <row r="65" spans="1:24" ht="13.8">
      <c r="A65" s="31">
        <v>33</v>
      </c>
      <c r="B65" s="796" t="s">
        <v>338</v>
      </c>
      <c r="C65" s="852" t="s">
        <v>339</v>
      </c>
      <c r="D65" s="852" t="s">
        <v>364</v>
      </c>
      <c r="E65" s="852"/>
      <c r="F65" s="735">
        <v>24685</v>
      </c>
      <c r="G65" s="857" t="s">
        <v>407</v>
      </c>
      <c r="H65" s="871">
        <v>200</v>
      </c>
      <c r="I65" s="871">
        <v>200</v>
      </c>
      <c r="J65" s="871"/>
      <c r="K65" s="871"/>
      <c r="L65" s="871"/>
      <c r="M65" s="856"/>
      <c r="N65" s="800"/>
      <c r="P65" s="50"/>
      <c r="Q65" s="114"/>
      <c r="R65" s="108"/>
      <c r="S65" s="227"/>
      <c r="T65" s="227"/>
      <c r="U65" s="234"/>
      <c r="V65" s="231"/>
      <c r="W65" s="231"/>
      <c r="X65" s="216"/>
    </row>
    <row r="66" spans="1:24" ht="13.8">
      <c r="A66" s="31">
        <v>34</v>
      </c>
      <c r="B66" s="875" t="s">
        <v>653</v>
      </c>
      <c r="C66" s="876" t="s">
        <v>654</v>
      </c>
      <c r="D66" s="876" t="s">
        <v>655</v>
      </c>
      <c r="E66" s="876"/>
      <c r="F66" s="743">
        <v>35227</v>
      </c>
      <c r="G66" s="877" t="s">
        <v>662</v>
      </c>
      <c r="H66" s="878">
        <v>200</v>
      </c>
      <c r="I66" s="878">
        <v>200</v>
      </c>
      <c r="J66" s="878"/>
      <c r="K66" s="878"/>
      <c r="L66" s="878"/>
      <c r="M66" s="879"/>
      <c r="N66" s="800"/>
      <c r="P66" s="50"/>
      <c r="Q66" s="114"/>
      <c r="R66" s="108"/>
      <c r="S66" s="227"/>
      <c r="T66" s="227"/>
      <c r="U66" s="234"/>
      <c r="V66" s="231"/>
      <c r="W66" s="231"/>
      <c r="X66" s="216"/>
    </row>
    <row r="67" spans="1:24" ht="13.8">
      <c r="A67" s="31">
        <v>35</v>
      </c>
      <c r="B67" s="875" t="s">
        <v>656</v>
      </c>
      <c r="C67" s="876" t="s">
        <v>657</v>
      </c>
      <c r="D67" s="876" t="s">
        <v>658</v>
      </c>
      <c r="E67" s="876"/>
      <c r="F67" s="743">
        <v>35349</v>
      </c>
      <c r="G67" s="877" t="s">
        <v>663</v>
      </c>
      <c r="H67" s="878">
        <v>200</v>
      </c>
      <c r="I67" s="878">
        <v>200</v>
      </c>
      <c r="J67" s="878"/>
      <c r="K67" s="878"/>
      <c r="L67" s="878"/>
      <c r="M67" s="879"/>
      <c r="N67" s="800"/>
      <c r="P67" s="50"/>
      <c r="Q67" s="114"/>
      <c r="R67" s="108"/>
      <c r="S67" s="227"/>
      <c r="T67" s="227"/>
      <c r="U67" s="234"/>
      <c r="V67" s="231"/>
      <c r="W67" s="231"/>
      <c r="X67" s="216"/>
    </row>
    <row r="68" spans="1:24" ht="13.8">
      <c r="A68" s="31">
        <v>36</v>
      </c>
      <c r="B68" s="875" t="s">
        <v>376</v>
      </c>
      <c r="C68" s="876" t="s">
        <v>659</v>
      </c>
      <c r="D68" s="876" t="s">
        <v>660</v>
      </c>
      <c r="E68" s="876"/>
      <c r="F68" s="743">
        <v>33073</v>
      </c>
      <c r="G68" s="877" t="s">
        <v>664</v>
      </c>
      <c r="H68" s="878">
        <v>200</v>
      </c>
      <c r="I68" s="878">
        <v>200</v>
      </c>
      <c r="J68" s="878"/>
      <c r="K68" s="878"/>
      <c r="L68" s="878"/>
      <c r="M68" s="879"/>
      <c r="N68" s="800"/>
      <c r="P68" s="50"/>
      <c r="Q68" s="114"/>
      <c r="R68" s="108"/>
      <c r="S68" s="227"/>
      <c r="T68" s="227"/>
      <c r="U68" s="234"/>
      <c r="V68" s="231"/>
      <c r="W68" s="231"/>
      <c r="X68" s="216"/>
    </row>
    <row r="69" spans="1:24" ht="13.8">
      <c r="A69" s="41"/>
      <c r="B69" s="875"/>
      <c r="C69" s="880"/>
      <c r="D69" s="881"/>
      <c r="E69" s="881"/>
      <c r="F69" s="881"/>
      <c r="G69" s="882"/>
      <c r="H69" s="883">
        <f>SUM(H50:H68)</f>
        <v>3800</v>
      </c>
      <c r="I69" s="883">
        <f>SUM(I50:I68)</f>
        <v>3800</v>
      </c>
      <c r="J69" s="883">
        <f>SUM(J50:J65)</f>
        <v>7517.71</v>
      </c>
      <c r="K69" s="883"/>
      <c r="L69" s="883"/>
      <c r="M69" s="883">
        <f>SUM(M50:M65)</f>
        <v>0</v>
      </c>
      <c r="N69" s="800"/>
    </row>
    <row r="70" spans="1:24" s="37" customFormat="1" ht="13.8">
      <c r="A70" s="657"/>
      <c r="B70" s="884"/>
      <c r="C70" s="862"/>
      <c r="D70" s="846"/>
      <c r="E70" s="846"/>
      <c r="F70" s="846"/>
      <c r="G70" s="847"/>
      <c r="H70" s="864">
        <f t="shared" ref="H70:M70" si="0">H69+H32</f>
        <v>10500</v>
      </c>
      <c r="I70" s="864">
        <f t="shared" si="0"/>
        <v>7200</v>
      </c>
      <c r="J70" s="864">
        <f t="shared" si="0"/>
        <v>9017.7099999999991</v>
      </c>
      <c r="K70" s="864">
        <f t="shared" si="0"/>
        <v>970.5</v>
      </c>
      <c r="L70" s="864">
        <f t="shared" si="0"/>
        <v>0</v>
      </c>
      <c r="M70" s="865">
        <f t="shared" si="0"/>
        <v>0</v>
      </c>
      <c r="N70" s="885"/>
    </row>
    <row r="71" spans="1:24" ht="13.8">
      <c r="B71" s="800"/>
      <c r="C71" s="800" t="s">
        <v>248</v>
      </c>
      <c r="D71" s="800"/>
      <c r="E71" s="800"/>
      <c r="F71" s="800"/>
      <c r="G71" s="800"/>
      <c r="H71" s="800" t="s">
        <v>588</v>
      </c>
      <c r="I71" s="800"/>
      <c r="J71" s="108"/>
      <c r="K71" s="108"/>
      <c r="L71" s="108"/>
      <c r="M71" s="108"/>
      <c r="N71" s="108"/>
    </row>
    <row r="72" spans="1:24" ht="13.8">
      <c r="B72" s="800"/>
      <c r="C72" s="800"/>
      <c r="D72" s="800"/>
      <c r="E72" s="800"/>
      <c r="F72" s="800"/>
      <c r="G72" s="800"/>
      <c r="H72" s="800"/>
      <c r="I72" s="800"/>
      <c r="J72" s="108"/>
      <c r="K72" s="108"/>
      <c r="L72" s="108"/>
      <c r="M72" s="108"/>
      <c r="N72" s="108"/>
    </row>
    <row r="73" spans="1:24" ht="13.8">
      <c r="B73" s="834"/>
      <c r="C73" s="955"/>
      <c r="D73" s="955"/>
      <c r="E73" s="955"/>
      <c r="F73" s="955"/>
      <c r="G73" s="955"/>
      <c r="H73" s="955"/>
      <c r="I73" s="955"/>
      <c r="J73" s="267"/>
    </row>
    <row r="74" spans="1:24" ht="13.8">
      <c r="B74" s="834"/>
      <c r="C74" s="956" t="s">
        <v>173</v>
      </c>
      <c r="D74" s="955"/>
      <c r="E74" s="955"/>
      <c r="F74" s="955"/>
      <c r="G74" s="955"/>
      <c r="H74" s="956" t="s">
        <v>42</v>
      </c>
      <c r="I74" s="955"/>
      <c r="J74" s="267"/>
      <c r="K74" s="573"/>
      <c r="L74" s="573"/>
    </row>
    <row r="75" spans="1:24" ht="13.8">
      <c r="B75" s="834"/>
      <c r="C75" s="955" t="s">
        <v>284</v>
      </c>
      <c r="D75" s="955"/>
      <c r="E75" s="955"/>
      <c r="F75" s="955"/>
      <c r="G75" s="955"/>
      <c r="H75" s="955" t="s">
        <v>261</v>
      </c>
      <c r="I75" s="955"/>
      <c r="J75" s="267"/>
      <c r="K75" s="573"/>
      <c r="L75" s="573"/>
    </row>
    <row r="76" spans="1:24" ht="13.8">
      <c r="B76" s="834"/>
      <c r="C76" s="955"/>
      <c r="D76" s="955"/>
      <c r="E76" s="955"/>
      <c r="F76" s="955"/>
      <c r="G76" s="955"/>
      <c r="H76" s="955"/>
      <c r="I76" s="955"/>
      <c r="J76" s="267"/>
      <c r="K76" s="573"/>
      <c r="L76" s="573"/>
    </row>
  </sheetData>
  <mergeCells count="24">
    <mergeCell ref="C42:M42"/>
    <mergeCell ref="C43:M43"/>
    <mergeCell ref="A44:V44"/>
    <mergeCell ref="A45:V45"/>
    <mergeCell ref="A46:V46"/>
    <mergeCell ref="A8:V8"/>
    <mergeCell ref="A9:V9"/>
    <mergeCell ref="C6:M6"/>
    <mergeCell ref="C7:M7"/>
    <mergeCell ref="D5:J5"/>
    <mergeCell ref="J48:J49"/>
    <mergeCell ref="M48:M49"/>
    <mergeCell ref="B48:B49"/>
    <mergeCell ref="C48:C49"/>
    <mergeCell ref="D48:D49"/>
    <mergeCell ref="F48:F49"/>
    <mergeCell ref="D41:J41"/>
    <mergeCell ref="A10:V10"/>
    <mergeCell ref="B12:B13"/>
    <mergeCell ref="C12:C13"/>
    <mergeCell ref="D12:D13"/>
    <mergeCell ref="F12:F13"/>
    <mergeCell ref="M12:M13"/>
    <mergeCell ref="J12:J13"/>
  </mergeCells>
  <pageMargins left="0.12" right="0.15" top="0.25" bottom="1.22" header="0.28000000000000003" footer="0.3"/>
  <pageSetup paperSize="10000" scale="9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R58"/>
  <sheetViews>
    <sheetView topLeftCell="A10" zoomScale="80" zoomScaleNormal="80" workbookViewId="0">
      <selection activeCell="I26" sqref="I26"/>
    </sheetView>
  </sheetViews>
  <sheetFormatPr defaultColWidth="9" defaultRowHeight="13.2"/>
  <cols>
    <col min="1" max="1" width="5" customWidth="1"/>
    <col min="2" max="2" width="17.77734375" customWidth="1"/>
    <col min="3" max="3" width="20.44140625" customWidth="1"/>
    <col min="4" max="4" width="17.44140625" customWidth="1"/>
    <col min="5" max="5" width="8.33203125" customWidth="1"/>
    <col min="6" max="6" width="14.109375" customWidth="1"/>
    <col min="7" max="7" width="15.6640625" customWidth="1"/>
    <col min="8" max="8" width="15.33203125" customWidth="1"/>
    <col min="11" max="11" width="15.33203125" customWidth="1"/>
    <col min="12" max="12" width="14.6640625" customWidth="1"/>
  </cols>
  <sheetData>
    <row r="4" spans="1:18" ht="14.4">
      <c r="H4" s="105"/>
    </row>
    <row r="5" spans="1:18" ht="15.6">
      <c r="A5" s="74"/>
      <c r="B5" s="74"/>
      <c r="C5" s="1143"/>
      <c r="D5" s="1143"/>
      <c r="E5" s="1143"/>
      <c r="F5" s="1143"/>
      <c r="G5" s="1143"/>
      <c r="H5" s="1143"/>
      <c r="I5" s="1143"/>
      <c r="J5" s="1143"/>
      <c r="K5" s="1143"/>
      <c r="L5" s="590"/>
      <c r="M5" s="73"/>
      <c r="N5" s="73"/>
      <c r="O5" s="73"/>
      <c r="P5" s="73"/>
      <c r="Q5" s="73"/>
      <c r="R5" s="73"/>
    </row>
    <row r="6" spans="1:18" ht="15.75" customHeight="1">
      <c r="A6" s="74"/>
      <c r="B6" s="620"/>
      <c r="C6" s="620"/>
      <c r="D6" s="620"/>
      <c r="E6" s="620"/>
      <c r="F6" s="620"/>
      <c r="G6" s="620"/>
      <c r="H6" s="620"/>
      <c r="I6" s="620"/>
      <c r="J6" s="620"/>
      <c r="K6" s="620"/>
      <c r="L6" s="591"/>
      <c r="M6" s="73"/>
      <c r="N6" s="73"/>
      <c r="O6" s="73"/>
      <c r="P6" s="73"/>
      <c r="Q6" s="73"/>
      <c r="R6" s="73"/>
    </row>
    <row r="7" spans="1:18" ht="15.75" customHeight="1">
      <c r="A7" s="74"/>
      <c r="B7" s="74"/>
      <c r="C7" s="1145" t="s">
        <v>636</v>
      </c>
      <c r="D7" s="1145"/>
      <c r="E7" s="1145"/>
      <c r="F7" s="1145"/>
      <c r="G7" s="1145"/>
      <c r="H7" s="1145"/>
      <c r="I7" s="1145"/>
      <c r="J7" s="1145"/>
      <c r="K7" s="1145"/>
      <c r="L7" s="592"/>
      <c r="M7" s="73"/>
      <c r="N7" s="73"/>
      <c r="O7" s="73"/>
      <c r="P7" s="73"/>
      <c r="Q7" s="73"/>
      <c r="R7" s="73"/>
    </row>
    <row r="8" spans="1:18">
      <c r="A8" s="75"/>
      <c r="B8" s="75"/>
      <c r="C8" s="75"/>
      <c r="D8" s="75"/>
      <c r="E8" s="75"/>
      <c r="F8" s="75"/>
      <c r="G8" s="75"/>
      <c r="H8" s="75"/>
      <c r="I8" s="75"/>
      <c r="J8" s="75"/>
      <c r="K8" s="75"/>
      <c r="L8" s="75"/>
      <c r="M8" s="75"/>
      <c r="N8" s="75"/>
      <c r="O8" s="75"/>
      <c r="P8" s="75"/>
      <c r="Q8" s="75"/>
      <c r="R8" s="75"/>
    </row>
    <row r="9" spans="1:18" ht="13.8">
      <c r="A9" s="75"/>
      <c r="B9" s="75"/>
      <c r="C9" s="659" t="s">
        <v>643</v>
      </c>
      <c r="D9" s="72"/>
      <c r="E9" s="72"/>
      <c r="F9" s="75"/>
      <c r="G9" s="75"/>
      <c r="H9" s="75"/>
      <c r="I9" s="75"/>
      <c r="J9" s="75"/>
      <c r="K9" s="75"/>
      <c r="L9" s="75"/>
      <c r="M9" s="75"/>
      <c r="N9" s="75"/>
      <c r="O9" s="75"/>
      <c r="P9" s="75"/>
      <c r="Q9" s="75"/>
      <c r="R9" s="75"/>
    </row>
    <row r="10" spans="1:18" ht="14.4">
      <c r="C10" s="834" t="s">
        <v>709</v>
      </c>
      <c r="H10" s="105"/>
    </row>
    <row r="11" spans="1:18" ht="14.4">
      <c r="H11" s="107"/>
    </row>
    <row r="12" spans="1:18" ht="14.4">
      <c r="A12" s="741"/>
      <c r="B12" s="741"/>
      <c r="C12" s="741"/>
      <c r="D12" s="741"/>
      <c r="E12" s="740" t="s">
        <v>108</v>
      </c>
      <c r="F12" s="741"/>
      <c r="G12" s="741"/>
      <c r="H12" s="619"/>
    </row>
    <row r="13" spans="1:18" ht="14.4">
      <c r="A13" s="738" t="s">
        <v>50</v>
      </c>
      <c r="B13" s="738" t="s">
        <v>538</v>
      </c>
      <c r="C13" s="738" t="s">
        <v>344</v>
      </c>
      <c r="D13" s="738" t="s">
        <v>345</v>
      </c>
      <c r="E13" s="738" t="s">
        <v>539</v>
      </c>
      <c r="F13" s="738" t="s">
        <v>600</v>
      </c>
      <c r="G13" s="738" t="s">
        <v>601</v>
      </c>
      <c r="H13" s="835" t="s">
        <v>63</v>
      </c>
    </row>
    <row r="14" spans="1:18" ht="14.4">
      <c r="A14" s="740">
        <v>1</v>
      </c>
      <c r="B14" s="797" t="s">
        <v>347</v>
      </c>
      <c r="C14" s="797" t="s">
        <v>275</v>
      </c>
      <c r="D14" s="797" t="s">
        <v>348</v>
      </c>
      <c r="E14" s="740"/>
      <c r="F14" s="735">
        <v>25309</v>
      </c>
      <c r="G14" s="740" t="s">
        <v>603</v>
      </c>
      <c r="H14" s="836">
        <v>26527.119999999999</v>
      </c>
      <c r="J14" s="57"/>
      <c r="K14" s="218"/>
      <c r="L14" s="219"/>
    </row>
    <row r="15" spans="1:18" ht="14.4">
      <c r="A15" s="740">
        <v>2</v>
      </c>
      <c r="B15" s="797" t="s">
        <v>276</v>
      </c>
      <c r="C15" s="797" t="s">
        <v>277</v>
      </c>
      <c r="D15" s="797" t="s">
        <v>548</v>
      </c>
      <c r="E15" s="740"/>
      <c r="F15" s="735">
        <v>27998</v>
      </c>
      <c r="G15" s="740" t="s">
        <v>604</v>
      </c>
      <c r="H15" s="836">
        <v>12862.52</v>
      </c>
      <c r="J15" s="57"/>
      <c r="K15" s="218"/>
      <c r="L15" s="219"/>
      <c r="N15" s="226"/>
    </row>
    <row r="16" spans="1:18" ht="14.4">
      <c r="A16" s="740">
        <v>3</v>
      </c>
      <c r="B16" s="797" t="s">
        <v>278</v>
      </c>
      <c r="C16" s="740" t="s">
        <v>279</v>
      </c>
      <c r="D16" s="797" t="s">
        <v>351</v>
      </c>
      <c r="E16" s="740"/>
      <c r="F16" s="736">
        <v>26680</v>
      </c>
      <c r="G16" s="740" t="s">
        <v>625</v>
      </c>
      <c r="H16" s="836">
        <v>11950.31</v>
      </c>
      <c r="J16" s="57"/>
      <c r="K16" s="218"/>
      <c r="L16" s="220"/>
      <c r="N16" s="226"/>
    </row>
    <row r="17" spans="1:14" ht="14.4">
      <c r="A17" s="740">
        <v>4</v>
      </c>
      <c r="B17" s="797" t="s">
        <v>280</v>
      </c>
      <c r="C17" s="797" t="s">
        <v>281</v>
      </c>
      <c r="D17" s="797" t="s">
        <v>353</v>
      </c>
      <c r="E17" s="740"/>
      <c r="F17" s="735">
        <v>33118</v>
      </c>
      <c r="G17" s="740" t="s">
        <v>605</v>
      </c>
      <c r="H17" s="836">
        <v>3394.69</v>
      </c>
      <c r="J17" s="57"/>
      <c r="K17" s="218"/>
      <c r="L17" s="219"/>
      <c r="N17" s="226"/>
    </row>
    <row r="18" spans="1:14" ht="14.4">
      <c r="A18" s="740">
        <v>5</v>
      </c>
      <c r="B18" s="797" t="s">
        <v>282</v>
      </c>
      <c r="C18" s="797" t="s">
        <v>283</v>
      </c>
      <c r="D18" s="797" t="s">
        <v>326</v>
      </c>
      <c r="E18" s="740"/>
      <c r="F18" s="735">
        <v>23889</v>
      </c>
      <c r="G18" s="740" t="s">
        <v>606</v>
      </c>
      <c r="H18" s="836">
        <v>5518.71</v>
      </c>
      <c r="J18" s="57"/>
      <c r="K18" s="218"/>
      <c r="L18" s="219"/>
      <c r="N18" s="226"/>
    </row>
    <row r="19" spans="1:14" ht="14.4">
      <c r="A19" s="740">
        <v>6</v>
      </c>
      <c r="B19" s="797" t="s">
        <v>285</v>
      </c>
      <c r="C19" s="797" t="s">
        <v>286</v>
      </c>
      <c r="D19" s="797" t="s">
        <v>356</v>
      </c>
      <c r="E19" s="740"/>
      <c r="F19" s="735">
        <v>26324</v>
      </c>
      <c r="G19" s="740" t="s">
        <v>607</v>
      </c>
      <c r="H19" s="836">
        <v>2597.29</v>
      </c>
      <c r="J19" s="57"/>
      <c r="K19" s="218"/>
      <c r="L19" s="219"/>
      <c r="N19" s="226"/>
    </row>
    <row r="20" spans="1:14" ht="14.4">
      <c r="A20" s="740">
        <v>7</v>
      </c>
      <c r="B20" s="797" t="s">
        <v>287</v>
      </c>
      <c r="C20" s="797" t="s">
        <v>288</v>
      </c>
      <c r="D20" s="797" t="s">
        <v>358</v>
      </c>
      <c r="E20" s="740"/>
      <c r="F20" s="735">
        <v>28404</v>
      </c>
      <c r="G20" s="740" t="s">
        <v>608</v>
      </c>
      <c r="H20" s="836">
        <v>3307.28</v>
      </c>
      <c r="J20" s="57"/>
      <c r="K20" s="218"/>
      <c r="L20" s="219"/>
      <c r="N20" s="226"/>
    </row>
    <row r="21" spans="1:14" ht="14.4">
      <c r="A21" s="740">
        <v>8</v>
      </c>
      <c r="B21" s="797" t="s">
        <v>294</v>
      </c>
      <c r="C21" s="740" t="s">
        <v>295</v>
      </c>
      <c r="D21" s="797" t="s">
        <v>366</v>
      </c>
      <c r="E21" s="740"/>
      <c r="F21" s="735">
        <v>35129</v>
      </c>
      <c r="G21" s="740" t="s">
        <v>609</v>
      </c>
      <c r="H21" s="836">
        <v>537</v>
      </c>
      <c r="J21" s="57"/>
      <c r="K21" s="218"/>
      <c r="L21" s="219"/>
      <c r="N21" s="226"/>
    </row>
    <row r="22" spans="1:14" ht="14.4">
      <c r="A22" s="740">
        <v>9</v>
      </c>
      <c r="B22" s="935" t="s">
        <v>298</v>
      </c>
      <c r="C22" s="935" t="s">
        <v>299</v>
      </c>
      <c r="D22" s="935" t="s">
        <v>369</v>
      </c>
      <c r="E22" s="934"/>
      <c r="F22" s="743">
        <v>28367</v>
      </c>
      <c r="G22" s="934" t="s">
        <v>695</v>
      </c>
      <c r="H22" s="936">
        <v>5746.98</v>
      </c>
      <c r="J22" s="57"/>
      <c r="K22" s="218"/>
      <c r="L22" s="219"/>
      <c r="N22" s="226"/>
    </row>
    <row r="23" spans="1:14" ht="14.4">
      <c r="A23" s="740">
        <v>10</v>
      </c>
      <c r="B23" s="797" t="s">
        <v>300</v>
      </c>
      <c r="C23" s="797" t="s">
        <v>301</v>
      </c>
      <c r="D23" s="797" t="s">
        <v>366</v>
      </c>
      <c r="E23" s="740"/>
      <c r="F23" s="735">
        <v>22487</v>
      </c>
      <c r="G23" s="740" t="s">
        <v>610</v>
      </c>
      <c r="H23" s="836">
        <v>204.04</v>
      </c>
      <c r="K23" s="221"/>
      <c r="L23" s="219"/>
      <c r="N23" s="226"/>
    </row>
    <row r="24" spans="1:14" ht="14.4">
      <c r="A24" s="740">
        <v>11</v>
      </c>
      <c r="B24" s="797" t="s">
        <v>302</v>
      </c>
      <c r="C24" s="797" t="s">
        <v>303</v>
      </c>
      <c r="D24" s="797" t="s">
        <v>371</v>
      </c>
      <c r="E24" s="740"/>
      <c r="F24" s="735">
        <v>30185</v>
      </c>
      <c r="G24" s="740" t="s">
        <v>611</v>
      </c>
      <c r="H24" s="836">
        <v>5518.71</v>
      </c>
      <c r="J24" s="60"/>
      <c r="K24" s="221"/>
      <c r="L24" s="219"/>
      <c r="N24" s="226"/>
    </row>
    <row r="25" spans="1:14" ht="14.4">
      <c r="A25" s="740">
        <v>12</v>
      </c>
      <c r="B25" s="799" t="s">
        <v>304</v>
      </c>
      <c r="C25" s="799" t="s">
        <v>305</v>
      </c>
      <c r="D25" s="799" t="s">
        <v>296</v>
      </c>
      <c r="E25" s="798"/>
      <c r="F25" s="735">
        <v>34606</v>
      </c>
      <c r="G25" s="798" t="s">
        <v>612</v>
      </c>
      <c r="H25" s="836">
        <v>2302.9299999999998</v>
      </c>
      <c r="J25" s="57"/>
      <c r="K25" s="218"/>
      <c r="L25" s="219"/>
      <c r="N25" s="226"/>
    </row>
    <row r="26" spans="1:14" ht="14.4">
      <c r="A26" s="740">
        <v>13</v>
      </c>
      <c r="B26" s="799" t="s">
        <v>306</v>
      </c>
      <c r="C26" s="799" t="s">
        <v>307</v>
      </c>
      <c r="D26" s="799" t="s">
        <v>551</v>
      </c>
      <c r="E26" s="798"/>
      <c r="F26" s="735">
        <v>35890</v>
      </c>
      <c r="G26" s="798" t="s">
        <v>613</v>
      </c>
      <c r="H26" s="836">
        <v>537</v>
      </c>
      <c r="J26" s="57"/>
      <c r="K26" s="218"/>
      <c r="L26" s="219"/>
      <c r="N26" s="226"/>
    </row>
    <row r="27" spans="1:14" ht="14.4">
      <c r="A27" s="740">
        <v>14</v>
      </c>
      <c r="B27" s="797" t="s">
        <v>310</v>
      </c>
      <c r="C27" s="797" t="s">
        <v>311</v>
      </c>
      <c r="D27" s="797" t="s">
        <v>379</v>
      </c>
      <c r="E27" s="740"/>
      <c r="F27" s="735">
        <v>29908</v>
      </c>
      <c r="G27" s="740" t="s">
        <v>614</v>
      </c>
      <c r="H27" s="836">
        <v>3394.69</v>
      </c>
      <c r="J27" s="57"/>
      <c r="K27" s="218"/>
      <c r="L27" s="219"/>
    </row>
    <row r="28" spans="1:14" ht="14.4">
      <c r="A28" s="740">
        <v>15</v>
      </c>
      <c r="B28" s="797" t="s">
        <v>312</v>
      </c>
      <c r="C28" s="797" t="s">
        <v>313</v>
      </c>
      <c r="D28" s="797" t="s">
        <v>381</v>
      </c>
      <c r="E28" s="740"/>
      <c r="F28" s="735">
        <v>27392</v>
      </c>
      <c r="G28" s="740" t="s">
        <v>615</v>
      </c>
      <c r="H28" s="836">
        <v>3572.44</v>
      </c>
      <c r="J28" s="57"/>
      <c r="K28" s="218"/>
      <c r="L28" s="219"/>
    </row>
    <row r="29" spans="1:14" ht="14.4">
      <c r="A29" s="740">
        <v>16</v>
      </c>
      <c r="B29" s="740" t="s">
        <v>314</v>
      </c>
      <c r="C29" s="797" t="s">
        <v>602</v>
      </c>
      <c r="D29" s="797" t="s">
        <v>383</v>
      </c>
      <c r="E29" s="740"/>
      <c r="F29" s="735">
        <v>29471</v>
      </c>
      <c r="G29" s="740" t="s">
        <v>616</v>
      </c>
      <c r="H29" s="836">
        <v>3307.28</v>
      </c>
      <c r="J29" s="57"/>
      <c r="K29" s="218"/>
      <c r="L29" s="219"/>
    </row>
    <row r="30" spans="1:14" ht="14.4">
      <c r="A30" s="740">
        <v>17</v>
      </c>
      <c r="B30" s="797" t="s">
        <v>316</v>
      </c>
      <c r="C30" s="797" t="s">
        <v>317</v>
      </c>
      <c r="D30" s="797" t="s">
        <v>385</v>
      </c>
      <c r="E30" s="740"/>
      <c r="F30" s="735">
        <v>25794</v>
      </c>
      <c r="G30" s="740" t="s">
        <v>617</v>
      </c>
      <c r="H30" s="836">
        <v>3307.28</v>
      </c>
      <c r="J30" s="57"/>
      <c r="K30" s="218"/>
      <c r="L30" s="219"/>
    </row>
    <row r="31" spans="1:14" ht="14.4">
      <c r="A31" s="740">
        <v>18</v>
      </c>
      <c r="B31" s="797" t="s">
        <v>318</v>
      </c>
      <c r="C31" s="797" t="s">
        <v>319</v>
      </c>
      <c r="D31" s="797" t="s">
        <v>387</v>
      </c>
      <c r="E31" s="740"/>
      <c r="F31" s="735">
        <v>28448</v>
      </c>
      <c r="G31" s="740" t="s">
        <v>618</v>
      </c>
      <c r="H31" s="836">
        <v>3307.28</v>
      </c>
      <c r="J31" s="57"/>
      <c r="K31" s="218"/>
      <c r="L31" s="219"/>
    </row>
    <row r="32" spans="1:14" ht="14.4">
      <c r="A32" s="740">
        <v>19</v>
      </c>
      <c r="B32" s="797" t="s">
        <v>320</v>
      </c>
      <c r="C32" s="797" t="s">
        <v>321</v>
      </c>
      <c r="D32" s="797" t="s">
        <v>389</v>
      </c>
      <c r="E32" s="740"/>
      <c r="F32" s="735">
        <v>33010</v>
      </c>
      <c r="G32" s="740" t="s">
        <v>619</v>
      </c>
      <c r="H32" s="836">
        <v>3307.28</v>
      </c>
      <c r="J32" s="57"/>
      <c r="K32" s="218"/>
      <c r="L32" s="219"/>
    </row>
    <row r="33" spans="1:12" ht="14.4">
      <c r="A33" s="740">
        <v>20</v>
      </c>
      <c r="B33" s="797" t="s">
        <v>323</v>
      </c>
      <c r="C33" s="797" t="s">
        <v>283</v>
      </c>
      <c r="D33" s="797" t="s">
        <v>391</v>
      </c>
      <c r="E33" s="740"/>
      <c r="F33" s="735">
        <v>22944</v>
      </c>
      <c r="G33" s="740" t="s">
        <v>620</v>
      </c>
      <c r="H33" s="836">
        <v>12553.53</v>
      </c>
      <c r="J33" s="57"/>
      <c r="K33" s="218"/>
      <c r="L33" s="219"/>
    </row>
    <row r="34" spans="1:12" ht="14.4">
      <c r="A34" s="740">
        <v>21</v>
      </c>
      <c r="B34" s="797" t="s">
        <v>324</v>
      </c>
      <c r="C34" s="797" t="s">
        <v>325</v>
      </c>
      <c r="D34" s="797" t="s">
        <v>393</v>
      </c>
      <c r="E34" s="740"/>
      <c r="F34" s="735">
        <v>22990</v>
      </c>
      <c r="G34" s="740" t="s">
        <v>621</v>
      </c>
      <c r="H34" s="836">
        <v>3307.28</v>
      </c>
      <c r="J34" s="57"/>
      <c r="K34" s="218"/>
      <c r="L34" s="219"/>
    </row>
    <row r="35" spans="1:12" ht="14.4">
      <c r="A35" s="740">
        <v>22</v>
      </c>
      <c r="B35" s="797" t="s">
        <v>326</v>
      </c>
      <c r="C35" s="797" t="s">
        <v>327</v>
      </c>
      <c r="D35" s="797" t="s">
        <v>395</v>
      </c>
      <c r="E35" s="740"/>
      <c r="F35" s="735">
        <v>23033</v>
      </c>
      <c r="G35" s="740" t="s">
        <v>622</v>
      </c>
      <c r="H35" s="836">
        <v>5518.71</v>
      </c>
      <c r="J35" s="57"/>
      <c r="K35" s="218"/>
      <c r="L35" s="219"/>
    </row>
    <row r="36" spans="1:12" ht="14.4">
      <c r="A36" s="740">
        <v>23</v>
      </c>
      <c r="B36" s="797" t="s">
        <v>328</v>
      </c>
      <c r="C36" s="797" t="s">
        <v>329</v>
      </c>
      <c r="D36" s="797" t="s">
        <v>552</v>
      </c>
      <c r="E36" s="740"/>
      <c r="F36" s="735">
        <v>35258</v>
      </c>
      <c r="G36" s="740" t="s">
        <v>623</v>
      </c>
      <c r="H36" s="836">
        <v>3135.93</v>
      </c>
      <c r="J36" s="57"/>
      <c r="K36" s="218"/>
      <c r="L36" s="219"/>
    </row>
    <row r="37" spans="1:12" ht="14.4">
      <c r="A37" s="740">
        <v>24</v>
      </c>
      <c r="B37" s="797" t="s">
        <v>330</v>
      </c>
      <c r="C37" s="797" t="s">
        <v>331</v>
      </c>
      <c r="D37" s="797" t="s">
        <v>399</v>
      </c>
      <c r="E37" s="740"/>
      <c r="F37" s="735">
        <v>32178</v>
      </c>
      <c r="G37" s="740" t="s">
        <v>624</v>
      </c>
      <c r="H37" s="658">
        <v>11950.31</v>
      </c>
      <c r="J37" s="57"/>
      <c r="K37" s="218"/>
      <c r="L37" s="222"/>
    </row>
    <row r="38" spans="1:12" ht="14.4">
      <c r="A38" s="740">
        <v>25</v>
      </c>
      <c r="B38" s="797" t="s">
        <v>653</v>
      </c>
      <c r="C38" s="797" t="s">
        <v>654</v>
      </c>
      <c r="D38" s="797" t="s">
        <v>655</v>
      </c>
      <c r="E38" s="740"/>
      <c r="F38" s="743">
        <v>35227</v>
      </c>
      <c r="G38" s="740" t="s">
        <v>669</v>
      </c>
      <c r="H38" s="837">
        <v>3145.93</v>
      </c>
      <c r="K38" s="221"/>
      <c r="L38" s="219"/>
    </row>
    <row r="39" spans="1:12" ht="14.4">
      <c r="A39" s="740">
        <v>26</v>
      </c>
      <c r="B39" s="962" t="s">
        <v>656</v>
      </c>
      <c r="C39" s="962" t="s">
        <v>657</v>
      </c>
      <c r="D39" s="965" t="s">
        <v>658</v>
      </c>
      <c r="E39" s="961"/>
      <c r="F39" s="963">
        <v>35349</v>
      </c>
      <c r="G39" s="961" t="s">
        <v>701</v>
      </c>
      <c r="H39" s="964">
        <v>1631.41</v>
      </c>
      <c r="K39" s="221"/>
      <c r="L39" s="219"/>
    </row>
    <row r="40" spans="1:12" ht="14.4">
      <c r="A40" s="740">
        <v>27</v>
      </c>
      <c r="B40" s="737" t="s">
        <v>376</v>
      </c>
      <c r="C40" s="737" t="s">
        <v>659</v>
      </c>
      <c r="D40" s="737" t="s">
        <v>660</v>
      </c>
      <c r="E40" s="737"/>
      <c r="F40" s="743">
        <v>33073</v>
      </c>
      <c r="G40" s="737" t="s">
        <v>665</v>
      </c>
      <c r="H40" s="837">
        <v>3145.93</v>
      </c>
      <c r="K40" s="221"/>
      <c r="L40" s="219"/>
    </row>
    <row r="41" spans="1:12" ht="14.4">
      <c r="A41" s="740"/>
      <c r="B41" s="740"/>
      <c r="C41" s="740"/>
      <c r="D41" s="740"/>
      <c r="E41" s="740"/>
      <c r="F41" s="740"/>
      <c r="G41" s="740"/>
      <c r="H41" s="837"/>
      <c r="J41" s="57"/>
      <c r="K41" s="218"/>
      <c r="L41" s="219"/>
    </row>
    <row r="42" spans="1:12" ht="14.4">
      <c r="A42" s="740"/>
      <c r="B42" s="740"/>
      <c r="C42" s="740"/>
      <c r="D42" s="740"/>
      <c r="E42" s="740"/>
      <c r="F42" s="740"/>
      <c r="G42" s="740"/>
      <c r="H42" s="838"/>
      <c r="J42" s="57"/>
      <c r="K42" s="218"/>
      <c r="L42" s="223"/>
    </row>
    <row r="43" spans="1:12" ht="14.4">
      <c r="A43" s="740"/>
      <c r="B43" s="740"/>
      <c r="C43" s="740"/>
      <c r="D43" s="740"/>
      <c r="E43" s="740"/>
      <c r="F43" s="740"/>
      <c r="G43" s="740"/>
      <c r="H43" s="838"/>
      <c r="J43" s="57"/>
      <c r="K43" s="218"/>
      <c r="L43" s="223"/>
    </row>
    <row r="44" spans="1:12" ht="14.4">
      <c r="A44" s="740"/>
      <c r="B44" s="740"/>
      <c r="C44" s="740"/>
      <c r="D44" s="740"/>
      <c r="E44" s="740"/>
      <c r="F44" s="740"/>
      <c r="G44" s="740"/>
      <c r="H44" s="838"/>
      <c r="J44" s="57"/>
      <c r="K44" s="218"/>
      <c r="L44" s="223"/>
    </row>
    <row r="45" spans="1:12" ht="14.4">
      <c r="A45" s="740"/>
      <c r="B45" s="740"/>
      <c r="C45" s="740"/>
      <c r="D45" s="740"/>
      <c r="E45" s="740"/>
      <c r="F45" s="740"/>
      <c r="G45" s="740"/>
      <c r="H45" s="838"/>
      <c r="J45" s="57"/>
      <c r="K45" s="218"/>
      <c r="L45" s="223"/>
    </row>
    <row r="46" spans="1:12" ht="15.6">
      <c r="A46" s="839"/>
      <c r="B46" s="840"/>
      <c r="C46" s="840"/>
      <c r="D46" s="840"/>
      <c r="E46" s="840"/>
      <c r="F46" s="840"/>
      <c r="G46" s="841" t="s">
        <v>273</v>
      </c>
      <c r="H46" s="842">
        <f>SUM(H14:H40)</f>
        <v>145589.85999999999</v>
      </c>
      <c r="K46" s="224"/>
      <c r="L46" s="225"/>
    </row>
    <row r="47" spans="1:12" ht="15.6">
      <c r="H47" s="225"/>
      <c r="K47" s="224"/>
      <c r="L47" s="225"/>
    </row>
    <row r="48" spans="1:12" ht="15.6">
      <c r="B48" s="834"/>
      <c r="C48" s="834"/>
      <c r="D48" s="834"/>
      <c r="E48" s="834"/>
      <c r="F48" s="834"/>
      <c r="G48" s="834"/>
      <c r="H48" s="225"/>
      <c r="K48" s="224"/>
      <c r="L48" s="225"/>
    </row>
    <row r="49" spans="2:8" ht="14.4">
      <c r="B49" s="834"/>
      <c r="C49" s="834"/>
      <c r="D49" s="834"/>
      <c r="E49" s="834"/>
      <c r="F49" s="834"/>
      <c r="G49" s="834"/>
      <c r="H49" s="226"/>
    </row>
    <row r="50" spans="2:8" ht="13.8">
      <c r="B50" s="834" t="s">
        <v>248</v>
      </c>
      <c r="C50" s="834"/>
      <c r="D50" s="834"/>
      <c r="E50" s="834"/>
      <c r="F50" s="834" t="s">
        <v>588</v>
      </c>
      <c r="G50" s="834"/>
    </row>
    <row r="51" spans="2:8" ht="13.8">
      <c r="B51" s="834"/>
      <c r="C51" s="834"/>
      <c r="D51" s="834"/>
      <c r="E51" s="834"/>
      <c r="F51" s="834"/>
      <c r="G51" s="834"/>
      <c r="H51" s="112"/>
    </row>
    <row r="52" spans="2:8" ht="13.8">
      <c r="B52" s="834"/>
      <c r="C52" s="834"/>
      <c r="D52" s="834"/>
      <c r="E52" s="834"/>
      <c r="F52" s="834"/>
      <c r="G52" s="834"/>
      <c r="H52" s="113"/>
    </row>
    <row r="53" spans="2:8" ht="13.8">
      <c r="B53" s="843" t="s">
        <v>173</v>
      </c>
      <c r="C53" s="834"/>
      <c r="D53" s="834"/>
      <c r="E53" s="834"/>
      <c r="F53" s="843" t="s">
        <v>42</v>
      </c>
      <c r="G53" s="834"/>
    </row>
    <row r="54" spans="2:8" ht="13.8">
      <c r="B54" s="834" t="s">
        <v>284</v>
      </c>
      <c r="C54" s="834"/>
      <c r="D54" s="834"/>
      <c r="E54" s="834"/>
      <c r="F54" s="834" t="s">
        <v>261</v>
      </c>
      <c r="G54" s="834"/>
    </row>
    <row r="55" spans="2:8" ht="13.8">
      <c r="B55" s="834"/>
      <c r="C55" s="834"/>
      <c r="D55" s="834"/>
      <c r="E55" s="834"/>
      <c r="F55" s="834"/>
      <c r="G55" s="834"/>
    </row>
    <row r="56" spans="2:8" ht="13.8">
      <c r="B56" s="834"/>
      <c r="C56" s="834"/>
      <c r="D56" s="834"/>
      <c r="E56" s="834"/>
      <c r="F56" s="834"/>
      <c r="G56" s="834"/>
    </row>
    <row r="57" spans="2:8" ht="13.8">
      <c r="B57" s="834"/>
      <c r="C57" s="834"/>
      <c r="D57" s="834"/>
      <c r="E57" s="834"/>
      <c r="F57" s="834"/>
      <c r="G57" s="834"/>
    </row>
    <row r="58" spans="2:8" ht="13.8">
      <c r="B58" s="834"/>
      <c r="C58" s="834"/>
      <c r="D58" s="834"/>
      <c r="E58" s="834"/>
      <c r="F58" s="834"/>
      <c r="G58" s="834"/>
    </row>
  </sheetData>
  <mergeCells count="2">
    <mergeCell ref="C5:K5"/>
    <mergeCell ref="C7:K7"/>
  </mergeCells>
  <pageMargins left="0.37" right="0.1" top="0.41" bottom="0.75" header="0.3" footer="0.3"/>
  <pageSetup paperSize="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AN42"/>
  <sheetViews>
    <sheetView topLeftCell="A7" workbookViewId="0">
      <selection activeCell="J21" sqref="J21"/>
    </sheetView>
  </sheetViews>
  <sheetFormatPr defaultColWidth="9" defaultRowHeight="13.2"/>
  <cols>
    <col min="1" max="1" width="4.44140625" customWidth="1"/>
    <col min="2" max="2" width="17.77734375" customWidth="1"/>
    <col min="3" max="3" width="17.33203125" customWidth="1"/>
    <col min="4" max="4" width="16.33203125" customWidth="1"/>
    <col min="5" max="5" width="11.109375" customWidth="1"/>
    <col min="6" max="6" width="13.33203125" customWidth="1"/>
    <col min="7" max="7" width="16.44140625" customWidth="1"/>
    <col min="16" max="16" width="13.77734375" customWidth="1"/>
  </cols>
  <sheetData>
    <row r="5" spans="1:16" ht="15" customHeight="1">
      <c r="A5" s="49"/>
      <c r="B5" s="1146"/>
      <c r="C5" s="1146"/>
      <c r="D5" s="1146"/>
      <c r="E5" s="1146"/>
      <c r="F5" s="1146"/>
      <c r="G5" s="1146"/>
      <c r="H5" s="105"/>
      <c r="I5" s="105"/>
      <c r="J5" s="105"/>
      <c r="K5" s="105"/>
    </row>
    <row r="6" spans="1:16" ht="15" customHeight="1">
      <c r="A6" s="49"/>
      <c r="B6" s="1146"/>
      <c r="C6" s="1146"/>
      <c r="D6" s="1146"/>
      <c r="E6" s="1146"/>
      <c r="F6" s="1146"/>
      <c r="G6" s="1146"/>
      <c r="H6" s="105"/>
      <c r="I6" s="105"/>
      <c r="J6" s="105"/>
      <c r="K6" s="105"/>
    </row>
    <row r="7" spans="1:16" ht="15" customHeight="1">
      <c r="A7" s="49"/>
      <c r="B7" s="1147" t="s">
        <v>342</v>
      </c>
      <c r="C7" s="1147"/>
      <c r="D7" s="1147"/>
      <c r="E7" s="1147"/>
      <c r="F7" s="1147"/>
      <c r="G7" s="1147"/>
      <c r="H7" s="105"/>
      <c r="I7" s="105"/>
      <c r="J7" s="105"/>
      <c r="K7" s="105"/>
    </row>
    <row r="8" spans="1:16" ht="15" customHeight="1">
      <c r="A8" s="49"/>
      <c r="B8" s="116"/>
      <c r="C8" s="116"/>
      <c r="D8" s="116"/>
      <c r="E8" s="116"/>
      <c r="F8" s="116"/>
      <c r="G8" s="105"/>
      <c r="H8" s="105"/>
      <c r="I8" s="116"/>
      <c r="J8" s="116"/>
      <c r="K8" s="116"/>
    </row>
    <row r="9" spans="1:16" ht="15" customHeight="1">
      <c r="A9" s="49"/>
      <c r="B9" s="621" t="s">
        <v>626</v>
      </c>
      <c r="C9" s="621"/>
      <c r="D9" s="621"/>
      <c r="E9" s="621"/>
      <c r="F9" s="622"/>
      <c r="G9" s="622"/>
      <c r="H9" s="107"/>
      <c r="I9" s="107"/>
      <c r="J9" s="107"/>
      <c r="K9" s="107"/>
    </row>
    <row r="10" spans="1:16" ht="15" customHeight="1">
      <c r="A10" s="49"/>
      <c r="B10" s="1150" t="s">
        <v>710</v>
      </c>
      <c r="C10" s="1151"/>
      <c r="D10" s="1151"/>
      <c r="E10" s="1151"/>
      <c r="F10" s="1151"/>
      <c r="G10" s="1151"/>
      <c r="I10" s="107"/>
      <c r="J10" s="107"/>
      <c r="K10" s="107"/>
    </row>
    <row r="11" spans="1:16" ht="15" customHeight="1">
      <c r="A11" s="49"/>
      <c r="B11" s="116"/>
      <c r="C11" s="116"/>
      <c r="D11" s="116"/>
      <c r="E11" s="116"/>
      <c r="F11" s="116"/>
      <c r="G11" s="105"/>
      <c r="H11" s="105"/>
      <c r="I11" s="116"/>
      <c r="J11" s="116"/>
      <c r="K11" s="116"/>
    </row>
    <row r="12" spans="1:16">
      <c r="A12" s="115"/>
      <c r="B12" s="211"/>
      <c r="C12" s="211"/>
      <c r="D12" s="211"/>
      <c r="E12" s="211"/>
      <c r="F12" s="211"/>
      <c r="G12" s="212"/>
      <c r="H12" s="108"/>
      <c r="I12" s="108"/>
      <c r="J12" s="108"/>
      <c r="K12" s="108"/>
    </row>
    <row r="13" spans="1:16">
      <c r="B13" s="211"/>
      <c r="C13" s="211"/>
      <c r="D13" s="211"/>
      <c r="E13" s="211"/>
      <c r="F13" s="211"/>
      <c r="G13" s="214"/>
      <c r="H13" s="108"/>
      <c r="I13" s="108"/>
      <c r="J13" s="108"/>
      <c r="K13" s="108"/>
    </row>
    <row r="14" spans="1:16">
      <c r="B14" s="211" t="s">
        <v>168</v>
      </c>
      <c r="C14" s="211"/>
      <c r="D14" s="211"/>
      <c r="E14" s="211"/>
      <c r="F14" s="213"/>
      <c r="G14" s="214"/>
      <c r="H14" s="108"/>
      <c r="I14" s="108"/>
      <c r="J14" s="108"/>
      <c r="K14" s="108"/>
      <c r="L14" s="213"/>
      <c r="M14" s="213"/>
    </row>
    <row r="15" spans="1:16" ht="15.6">
      <c r="A15" s="773" t="s">
        <v>627</v>
      </c>
      <c r="B15" s="820" t="s">
        <v>538</v>
      </c>
      <c r="C15" s="810" t="s">
        <v>344</v>
      </c>
      <c r="D15" s="810" t="s">
        <v>345</v>
      </c>
      <c r="E15" s="810" t="s">
        <v>628</v>
      </c>
      <c r="F15" s="821" t="s">
        <v>540</v>
      </c>
      <c r="G15" s="822" t="s">
        <v>629</v>
      </c>
      <c r="H15" s="108"/>
      <c r="I15" s="108"/>
      <c r="J15" s="108"/>
      <c r="K15" s="625"/>
      <c r="L15" s="625"/>
      <c r="M15" s="625"/>
      <c r="N15" s="213"/>
      <c r="O15" s="252"/>
      <c r="P15" s="626"/>
    </row>
    <row r="16" spans="1:16" ht="15.6">
      <c r="A16" s="773">
        <v>1</v>
      </c>
      <c r="B16" s="376" t="s">
        <v>285</v>
      </c>
      <c r="C16" s="376" t="s">
        <v>286</v>
      </c>
      <c r="D16" s="376" t="s">
        <v>356</v>
      </c>
      <c r="E16" s="810"/>
      <c r="F16" s="757">
        <v>26324</v>
      </c>
      <c r="G16" s="823">
        <v>7900.15</v>
      </c>
      <c r="H16" s="108"/>
      <c r="I16" s="108"/>
      <c r="J16" s="108"/>
      <c r="K16" s="625"/>
      <c r="L16" s="625"/>
      <c r="M16" s="625"/>
      <c r="N16" s="213"/>
      <c r="O16" s="252"/>
      <c r="P16" s="627"/>
    </row>
    <row r="17" spans="1:40" ht="15.6">
      <c r="A17" s="773">
        <v>2</v>
      </c>
      <c r="B17" s="824" t="s">
        <v>278</v>
      </c>
      <c r="C17" s="824" t="s">
        <v>279</v>
      </c>
      <c r="D17" s="825" t="s">
        <v>351</v>
      </c>
      <c r="E17" s="826"/>
      <c r="F17" s="763">
        <v>26680</v>
      </c>
      <c r="G17" s="827">
        <v>2633.38</v>
      </c>
      <c r="H17" s="108"/>
      <c r="I17" s="108"/>
      <c r="J17" s="108"/>
      <c r="K17" s="625"/>
      <c r="L17" s="625"/>
      <c r="M17" s="625"/>
      <c r="N17" s="213"/>
      <c r="O17" s="213"/>
      <c r="P17" s="69"/>
    </row>
    <row r="18" spans="1:40" ht="15.6">
      <c r="A18" s="773">
        <v>3</v>
      </c>
      <c r="B18" s="376" t="s">
        <v>282</v>
      </c>
      <c r="C18" s="376" t="s">
        <v>283</v>
      </c>
      <c r="D18" s="376" t="s">
        <v>326</v>
      </c>
      <c r="E18" s="810"/>
      <c r="F18" s="757">
        <v>23889</v>
      </c>
      <c r="G18" s="823">
        <v>5266.77</v>
      </c>
      <c r="H18" s="108"/>
      <c r="I18" s="108"/>
      <c r="J18" s="108"/>
      <c r="K18" s="628"/>
      <c r="L18" s="628"/>
      <c r="M18" s="628"/>
      <c r="N18" s="629"/>
      <c r="O18" s="217"/>
      <c r="P18" s="214"/>
    </row>
    <row r="19" spans="1:40" ht="16.2">
      <c r="A19" s="773">
        <v>4</v>
      </c>
      <c r="B19" s="916" t="s">
        <v>276</v>
      </c>
      <c r="C19" s="916" t="s">
        <v>277</v>
      </c>
      <c r="D19" s="916" t="s">
        <v>548</v>
      </c>
      <c r="E19" s="828"/>
      <c r="F19" s="757">
        <v>27998</v>
      </c>
      <c r="G19" s="829">
        <v>14483.61</v>
      </c>
      <c r="H19" s="108"/>
      <c r="I19" s="108"/>
      <c r="J19" s="108"/>
      <c r="K19" s="625"/>
      <c r="L19" s="625"/>
      <c r="M19" s="625"/>
      <c r="N19" s="213"/>
      <c r="O19" s="213"/>
      <c r="P19" s="630"/>
    </row>
    <row r="20" spans="1:40" ht="15.6">
      <c r="A20" s="773">
        <v>5</v>
      </c>
      <c r="B20" s="376" t="s">
        <v>330</v>
      </c>
      <c r="C20" s="376" t="s">
        <v>331</v>
      </c>
      <c r="D20" s="376" t="s">
        <v>399</v>
      </c>
      <c r="E20" s="810"/>
      <c r="F20" s="757">
        <v>32178</v>
      </c>
      <c r="G20" s="830">
        <v>13219.59</v>
      </c>
      <c r="H20" s="108"/>
      <c r="I20" s="108"/>
      <c r="J20" s="108"/>
      <c r="K20" s="625"/>
      <c r="L20" s="625"/>
      <c r="M20" s="625"/>
      <c r="N20" s="213"/>
      <c r="O20" s="213"/>
      <c r="P20" s="630"/>
    </row>
    <row r="21" spans="1:40" ht="15.6">
      <c r="A21" s="773">
        <v>6</v>
      </c>
      <c r="B21" s="376" t="s">
        <v>292</v>
      </c>
      <c r="C21" s="376" t="s">
        <v>293</v>
      </c>
      <c r="D21" s="376" t="s">
        <v>364</v>
      </c>
      <c r="E21" s="810"/>
      <c r="F21" s="763">
        <v>28312</v>
      </c>
      <c r="G21" s="830">
        <v>5266.77</v>
      </c>
      <c r="H21" s="108"/>
      <c r="I21" s="108"/>
      <c r="J21" s="108"/>
      <c r="K21" s="625"/>
      <c r="L21" s="625"/>
      <c r="M21" s="625"/>
      <c r="N21" s="213"/>
      <c r="O21" s="213"/>
      <c r="P21" s="630"/>
    </row>
    <row r="22" spans="1:40" ht="15.6">
      <c r="A22" s="773">
        <v>7</v>
      </c>
      <c r="B22" s="376" t="s">
        <v>296</v>
      </c>
      <c r="C22" s="376" t="s">
        <v>297</v>
      </c>
      <c r="D22" s="376" t="s">
        <v>550</v>
      </c>
      <c r="E22" s="810"/>
      <c r="F22" s="757">
        <v>24970</v>
      </c>
      <c r="G22" s="913">
        <v>6583.46</v>
      </c>
      <c r="H22" s="108"/>
      <c r="I22" s="108"/>
      <c r="J22" s="108"/>
      <c r="K22" s="625"/>
      <c r="L22" s="625"/>
      <c r="M22" s="625"/>
      <c r="N22" s="213"/>
      <c r="O22" s="213"/>
      <c r="P22" s="215"/>
    </row>
    <row r="23" spans="1:40" ht="15.6">
      <c r="A23" s="773">
        <v>8</v>
      </c>
      <c r="B23" s="376" t="s">
        <v>294</v>
      </c>
      <c r="C23" s="376" t="s">
        <v>295</v>
      </c>
      <c r="D23" s="376" t="s">
        <v>366</v>
      </c>
      <c r="E23" s="810"/>
      <c r="F23" s="757">
        <v>35129</v>
      </c>
      <c r="G23" s="831">
        <v>4356.07</v>
      </c>
      <c r="H23" s="108"/>
      <c r="I23" s="108"/>
      <c r="J23" s="108"/>
      <c r="K23" s="625"/>
      <c r="L23" s="625"/>
      <c r="M23" s="625"/>
      <c r="N23" s="213"/>
      <c r="O23" s="213"/>
      <c r="P23" s="215"/>
    </row>
    <row r="24" spans="1:40" ht="15.6">
      <c r="A24" s="773">
        <v>9</v>
      </c>
      <c r="B24" s="376" t="s">
        <v>314</v>
      </c>
      <c r="C24" s="376" t="s">
        <v>315</v>
      </c>
      <c r="D24" s="376" t="s">
        <v>383</v>
      </c>
      <c r="E24" s="810"/>
      <c r="F24" s="757">
        <v>29471</v>
      </c>
      <c r="G24" s="831">
        <v>5293.1</v>
      </c>
      <c r="H24" s="108"/>
      <c r="I24" s="108"/>
      <c r="J24" s="108"/>
      <c r="K24" s="625"/>
      <c r="L24" s="625"/>
      <c r="M24" s="625"/>
      <c r="N24" s="213"/>
      <c r="O24" s="213"/>
      <c r="P24" s="215"/>
    </row>
    <row r="25" spans="1:40" ht="15.6">
      <c r="A25" s="773">
        <v>10</v>
      </c>
      <c r="B25" s="376" t="s">
        <v>298</v>
      </c>
      <c r="C25" s="376" t="s">
        <v>299</v>
      </c>
      <c r="D25" s="376" t="s">
        <v>369</v>
      </c>
      <c r="E25" s="917"/>
      <c r="F25" s="757">
        <v>28367</v>
      </c>
      <c r="G25" s="831">
        <v>6263.95</v>
      </c>
      <c r="H25" s="108"/>
      <c r="I25" s="108"/>
      <c r="J25" s="108"/>
      <c r="K25" s="213"/>
      <c r="L25" s="213"/>
      <c r="M25" s="213"/>
      <c r="N25" s="213"/>
      <c r="O25" s="213"/>
      <c r="P25" s="215"/>
    </row>
    <row r="26" spans="1:40" ht="15.6">
      <c r="A26" s="778"/>
      <c r="B26" s="755"/>
      <c r="C26" s="755"/>
      <c r="D26" s="755"/>
      <c r="E26" s="832"/>
      <c r="F26" s="832"/>
      <c r="G26" s="833"/>
      <c r="H26" s="108"/>
      <c r="I26" s="108"/>
      <c r="J26" s="108"/>
      <c r="K26" s="108"/>
    </row>
    <row r="27" spans="1:40" s="28" customFormat="1" ht="15.6">
      <c r="A27" s="773"/>
      <c r="B27" s="810"/>
      <c r="C27" s="810"/>
      <c r="D27" s="810"/>
      <c r="E27" s="810"/>
      <c r="F27" s="810"/>
      <c r="G27" s="831"/>
      <c r="H27" s="108"/>
      <c r="I27" s="108"/>
      <c r="J27" s="108"/>
      <c r="K27" s="108"/>
      <c r="L27"/>
      <c r="M27"/>
      <c r="N27"/>
      <c r="O27"/>
      <c r="P27"/>
      <c r="Q27"/>
      <c r="R27"/>
      <c r="S27"/>
      <c r="T27"/>
      <c r="U27"/>
      <c r="V27"/>
      <c r="W27"/>
      <c r="X27"/>
      <c r="Y27"/>
      <c r="Z27"/>
      <c r="AA27"/>
      <c r="AB27"/>
      <c r="AC27"/>
      <c r="AD27"/>
      <c r="AE27"/>
      <c r="AF27"/>
      <c r="AG27"/>
      <c r="AH27"/>
      <c r="AI27"/>
      <c r="AJ27"/>
      <c r="AK27"/>
      <c r="AL27"/>
      <c r="AM27"/>
      <c r="AN27"/>
    </row>
    <row r="28" spans="1:40" s="28" customFormat="1" ht="15.6">
      <c r="A28" s="773"/>
      <c r="B28" s="810"/>
      <c r="C28" s="810"/>
      <c r="D28" s="810"/>
      <c r="E28" s="810"/>
      <c r="F28" s="810"/>
      <c r="G28" s="831"/>
      <c r="H28" s="108"/>
      <c r="I28" s="108"/>
      <c r="J28" s="108"/>
      <c r="K28" s="108"/>
      <c r="L28"/>
      <c r="M28"/>
      <c r="N28"/>
      <c r="O28"/>
      <c r="P28"/>
      <c r="Q28"/>
      <c r="R28"/>
      <c r="S28"/>
      <c r="T28"/>
      <c r="U28"/>
      <c r="V28"/>
      <c r="W28"/>
      <c r="X28"/>
      <c r="Y28"/>
      <c r="Z28"/>
      <c r="AA28"/>
      <c r="AB28"/>
      <c r="AC28"/>
      <c r="AD28"/>
      <c r="AE28"/>
      <c r="AF28"/>
      <c r="AG28"/>
      <c r="AH28"/>
      <c r="AI28"/>
      <c r="AJ28"/>
      <c r="AK28"/>
      <c r="AL28"/>
      <c r="AM28"/>
      <c r="AN28"/>
    </row>
    <row r="29" spans="1:40" s="28" customFormat="1" ht="15.6">
      <c r="A29" s="773"/>
      <c r="B29" s="810"/>
      <c r="C29" s="810"/>
      <c r="D29" s="810"/>
      <c r="E29" s="810"/>
      <c r="F29" s="810"/>
      <c r="G29" s="831"/>
      <c r="H29" s="108"/>
      <c r="I29" s="108"/>
      <c r="J29" s="108"/>
      <c r="K29" s="108"/>
      <c r="L29"/>
      <c r="M29"/>
      <c r="N29"/>
      <c r="O29"/>
      <c r="P29"/>
      <c r="Q29"/>
      <c r="R29"/>
      <c r="S29"/>
      <c r="T29"/>
      <c r="U29"/>
      <c r="V29"/>
      <c r="W29"/>
      <c r="X29"/>
      <c r="Y29"/>
      <c r="Z29"/>
      <c r="AA29"/>
      <c r="AB29"/>
      <c r="AC29"/>
      <c r="AD29"/>
      <c r="AE29"/>
      <c r="AF29"/>
      <c r="AG29"/>
      <c r="AH29"/>
      <c r="AI29"/>
      <c r="AJ29"/>
      <c r="AK29"/>
      <c r="AL29"/>
      <c r="AM29"/>
      <c r="AN29"/>
    </row>
    <row r="30" spans="1:40" s="28" customFormat="1" ht="15.6">
      <c r="A30" s="773"/>
      <c r="B30" s="810"/>
      <c r="C30" s="810"/>
      <c r="D30" s="810"/>
      <c r="E30" s="810"/>
      <c r="F30" s="810"/>
      <c r="G30" s="831"/>
      <c r="H30" s="108"/>
      <c r="I30" s="108"/>
      <c r="J30" s="108"/>
      <c r="K30" s="108"/>
      <c r="L30"/>
      <c r="M30"/>
      <c r="N30"/>
      <c r="O30"/>
      <c r="P30"/>
      <c r="Q30"/>
      <c r="R30"/>
      <c r="S30"/>
      <c r="T30"/>
      <c r="U30"/>
      <c r="V30"/>
      <c r="W30"/>
      <c r="X30"/>
      <c r="Y30"/>
      <c r="Z30"/>
      <c r="AA30"/>
      <c r="AB30"/>
      <c r="AC30"/>
      <c r="AD30"/>
      <c r="AE30"/>
      <c r="AF30"/>
      <c r="AG30"/>
      <c r="AH30"/>
      <c r="AI30"/>
      <c r="AJ30"/>
      <c r="AK30"/>
      <c r="AL30"/>
      <c r="AM30"/>
      <c r="AN30"/>
    </row>
    <row r="31" spans="1:40" s="28" customFormat="1" ht="13.8">
      <c r="B31" s="623"/>
      <c r="C31" s="623"/>
      <c r="D31" s="623"/>
      <c r="E31" s="623"/>
      <c r="F31" s="623" t="s">
        <v>273</v>
      </c>
      <c r="G31" s="624">
        <f>SUM(G16:G26)</f>
        <v>71266.850000000006</v>
      </c>
      <c r="H31" s="108"/>
      <c r="I31" s="108"/>
      <c r="J31" s="108"/>
      <c r="K31" s="108"/>
      <c r="L31"/>
      <c r="M31"/>
      <c r="N31"/>
      <c r="O31"/>
      <c r="P31"/>
      <c r="Q31"/>
      <c r="R31"/>
      <c r="S31"/>
      <c r="T31"/>
      <c r="U31"/>
      <c r="V31"/>
      <c r="W31"/>
      <c r="X31"/>
      <c r="Y31"/>
      <c r="Z31"/>
      <c r="AA31"/>
      <c r="AB31"/>
      <c r="AC31"/>
      <c r="AD31"/>
      <c r="AE31"/>
      <c r="AF31"/>
      <c r="AG31"/>
      <c r="AH31"/>
      <c r="AI31"/>
      <c r="AJ31"/>
      <c r="AK31"/>
      <c r="AL31"/>
      <c r="AM31"/>
      <c r="AN31"/>
    </row>
    <row r="32" spans="1:40">
      <c r="B32" s="108"/>
      <c r="C32" s="108"/>
      <c r="D32" s="108"/>
      <c r="E32" s="108"/>
      <c r="F32" s="108"/>
      <c r="G32" s="216"/>
      <c r="H32" s="108"/>
      <c r="I32" s="108"/>
      <c r="J32" s="108"/>
      <c r="K32" s="108"/>
    </row>
    <row r="33" spans="2:11">
      <c r="B33" s="108"/>
      <c r="C33" s="108"/>
      <c r="D33" s="108"/>
      <c r="E33" s="108"/>
      <c r="F33" s="108"/>
      <c r="G33" s="108"/>
      <c r="H33" s="108"/>
      <c r="I33" s="108"/>
      <c r="J33" s="108"/>
      <c r="K33" s="108"/>
    </row>
    <row r="34" spans="2:11" ht="15">
      <c r="B34" s="814"/>
      <c r="C34" s="814"/>
      <c r="D34" s="814"/>
      <c r="E34" s="814"/>
      <c r="F34" s="814"/>
      <c r="G34" s="814"/>
      <c r="H34" s="108"/>
      <c r="I34" s="108"/>
      <c r="J34" s="108"/>
      <c r="K34" s="108"/>
    </row>
    <row r="35" spans="2:11" ht="15">
      <c r="B35" s="814" t="s">
        <v>248</v>
      </c>
      <c r="C35" s="814"/>
      <c r="D35" s="814"/>
      <c r="E35" s="814" t="s">
        <v>588</v>
      </c>
      <c r="F35" s="814"/>
      <c r="G35" s="814"/>
      <c r="H35" s="108"/>
      <c r="I35" s="108"/>
      <c r="J35" s="108"/>
      <c r="K35" s="108"/>
    </row>
    <row r="36" spans="2:11" ht="15">
      <c r="B36" s="814"/>
      <c r="C36" s="814"/>
      <c r="D36" s="814"/>
      <c r="E36" s="814"/>
      <c r="F36" s="814"/>
      <c r="G36" s="814"/>
      <c r="H36" s="108"/>
      <c r="I36" s="108"/>
      <c r="J36" s="108"/>
      <c r="K36" s="108"/>
    </row>
    <row r="37" spans="2:11" ht="15">
      <c r="B37" s="814"/>
      <c r="C37" s="814"/>
      <c r="D37" s="814"/>
      <c r="E37" s="814"/>
      <c r="F37" s="814"/>
      <c r="G37" s="814"/>
      <c r="H37" s="108"/>
      <c r="I37" s="108"/>
      <c r="J37" s="108"/>
      <c r="K37" s="108"/>
    </row>
    <row r="38" spans="2:11" ht="15.6">
      <c r="B38" s="1148" t="s">
        <v>173</v>
      </c>
      <c r="C38" s="1148"/>
      <c r="D38" s="1148"/>
      <c r="E38" s="1148" t="s">
        <v>42</v>
      </c>
      <c r="F38" s="1148"/>
      <c r="G38" s="1148"/>
      <c r="H38" s="108"/>
      <c r="I38" s="108"/>
      <c r="J38" s="108"/>
      <c r="K38" s="108"/>
    </row>
    <row r="39" spans="2:11" ht="15">
      <c r="B39" s="1149" t="s">
        <v>343</v>
      </c>
      <c r="C39" s="1149"/>
      <c r="D39" s="1149"/>
      <c r="E39" s="1149" t="s">
        <v>630</v>
      </c>
      <c r="F39" s="1149"/>
      <c r="G39" s="1149"/>
      <c r="H39" s="108"/>
      <c r="I39" s="108"/>
      <c r="J39" s="108"/>
      <c r="K39" s="108"/>
    </row>
    <row r="40" spans="2:11" ht="15">
      <c r="B40" s="814"/>
      <c r="C40" s="814"/>
      <c r="D40" s="814"/>
      <c r="E40" s="814"/>
      <c r="F40" s="814"/>
      <c r="G40" s="814"/>
      <c r="H40" s="108"/>
      <c r="I40" s="108"/>
      <c r="J40" s="108"/>
      <c r="K40" s="108"/>
    </row>
    <row r="41" spans="2:11">
      <c r="B41" s="108"/>
      <c r="C41" s="108"/>
      <c r="D41" s="108"/>
      <c r="E41" s="108"/>
      <c r="F41" s="108"/>
      <c r="G41" s="108"/>
      <c r="H41" s="108"/>
      <c r="I41" s="108"/>
      <c r="J41" s="108"/>
      <c r="K41" s="108"/>
    </row>
    <row r="42" spans="2:11">
      <c r="G42" s="49"/>
    </row>
  </sheetData>
  <mergeCells count="8">
    <mergeCell ref="B5:G5"/>
    <mergeCell ref="B6:G6"/>
    <mergeCell ref="B7:G7"/>
    <mergeCell ref="B38:D38"/>
    <mergeCell ref="B39:D39"/>
    <mergeCell ref="E38:G38"/>
    <mergeCell ref="E39:G39"/>
    <mergeCell ref="B10:G1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L135"/>
  <sheetViews>
    <sheetView topLeftCell="A4" workbookViewId="0">
      <selection activeCell="K16" sqref="K16"/>
    </sheetView>
  </sheetViews>
  <sheetFormatPr defaultColWidth="9" defaultRowHeight="13.2"/>
  <cols>
    <col min="1" max="1" width="1.109375" customWidth="1"/>
    <col min="2" max="2" width="4.77734375" customWidth="1"/>
    <col min="3" max="3" width="15.6640625" customWidth="1"/>
    <col min="4" max="4" width="16.6640625" customWidth="1"/>
    <col min="5" max="5" width="16" customWidth="1"/>
    <col min="6" max="6" width="12.109375" customWidth="1"/>
    <col min="7" max="7" width="13.44140625" customWidth="1"/>
    <col min="8" max="8" width="17.77734375" customWidth="1"/>
    <col min="9" max="9" width="9.44140625" customWidth="1"/>
  </cols>
  <sheetData>
    <row r="4" spans="1:12" ht="14.4">
      <c r="A4" s="108"/>
      <c r="B4" s="108"/>
      <c r="C4" s="108"/>
      <c r="D4" s="108"/>
      <c r="E4" s="108"/>
      <c r="F4" s="108"/>
      <c r="G4" s="1146"/>
      <c r="H4" s="1146"/>
      <c r="I4" s="108"/>
    </row>
    <row r="5" spans="1:12" ht="14.4">
      <c r="A5" s="108"/>
      <c r="B5" s="108"/>
      <c r="C5" s="1146"/>
      <c r="D5" s="1146"/>
      <c r="E5" s="1146"/>
      <c r="F5" s="1146"/>
      <c r="G5" s="1146"/>
      <c r="H5" s="1146"/>
      <c r="I5" s="105"/>
      <c r="J5" s="105"/>
      <c r="K5" s="105"/>
      <c r="L5" s="105"/>
    </row>
    <row r="6" spans="1:12" ht="14.4">
      <c r="A6" s="108"/>
      <c r="B6" s="108"/>
      <c r="C6" s="1146"/>
      <c r="D6" s="1146"/>
      <c r="E6" s="1146"/>
      <c r="F6" s="1146"/>
      <c r="G6" s="1146"/>
      <c r="H6" s="1146"/>
      <c r="I6" s="105"/>
      <c r="J6" s="105"/>
      <c r="K6" s="105"/>
      <c r="L6" s="105"/>
    </row>
    <row r="7" spans="1:12" ht="14.4">
      <c r="A7" s="108"/>
      <c r="B7" s="108"/>
      <c r="C7" s="1147" t="s">
        <v>342</v>
      </c>
      <c r="D7" s="1147"/>
      <c r="E7" s="1147"/>
      <c r="F7" s="1147"/>
      <c r="G7" s="1147"/>
      <c r="H7" s="1147"/>
      <c r="I7" s="105"/>
      <c r="J7" s="105"/>
      <c r="K7" s="105"/>
      <c r="L7" s="105"/>
    </row>
    <row r="8" spans="1:12" ht="14.4">
      <c r="A8" s="108"/>
      <c r="B8" s="108"/>
      <c r="C8" s="116"/>
      <c r="D8" s="116"/>
      <c r="E8" s="116"/>
      <c r="F8" s="116"/>
      <c r="G8" s="116"/>
      <c r="H8" s="105"/>
      <c r="I8" s="105"/>
      <c r="J8" s="116"/>
      <c r="K8" s="116"/>
      <c r="L8" s="116"/>
    </row>
    <row r="9" spans="1:12" ht="14.4">
      <c r="A9" s="108"/>
      <c r="B9" s="108"/>
      <c r="C9" s="622" t="s">
        <v>670</v>
      </c>
      <c r="D9" s="621"/>
      <c r="E9" s="621"/>
      <c r="F9" s="621"/>
      <c r="G9" s="622"/>
      <c r="H9" s="622"/>
      <c r="I9" s="107"/>
      <c r="J9" s="107"/>
      <c r="K9" s="107"/>
      <c r="L9" s="107"/>
    </row>
    <row r="10" spans="1:12" ht="14.4">
      <c r="A10" s="108"/>
      <c r="B10" s="108"/>
      <c r="C10" s="1150" t="s">
        <v>681</v>
      </c>
      <c r="D10" s="1151"/>
      <c r="E10" s="1151"/>
      <c r="F10" s="1151"/>
      <c r="G10" s="1151"/>
      <c r="H10" s="1151"/>
      <c r="J10" s="107"/>
      <c r="K10" s="107"/>
      <c r="L10" s="107"/>
    </row>
    <row r="11" spans="1:12" ht="14.4">
      <c r="A11" s="1150"/>
      <c r="B11" s="1150"/>
      <c r="C11" s="1150"/>
      <c r="D11" s="1150"/>
      <c r="E11" s="1150"/>
      <c r="F11" s="1150"/>
      <c r="G11" s="1150"/>
      <c r="H11" s="1150"/>
      <c r="I11" s="1150"/>
    </row>
    <row r="12" spans="1:12" ht="14.4">
      <c r="A12" s="108"/>
      <c r="B12" s="108"/>
      <c r="C12" s="108"/>
      <c r="D12" s="108"/>
      <c r="E12" s="108"/>
      <c r="F12" s="108"/>
      <c r="G12" s="106"/>
      <c r="H12" s="106"/>
      <c r="I12" s="108"/>
    </row>
    <row r="13" spans="1:12" ht="14.4">
      <c r="A13" s="108"/>
      <c r="B13" s="116"/>
      <c r="C13" s="116"/>
      <c r="D13" s="116"/>
      <c r="E13" s="116"/>
      <c r="F13" s="116"/>
      <c r="G13" s="105"/>
      <c r="H13" s="194"/>
      <c r="I13" s="108"/>
    </row>
    <row r="14" spans="1:12" ht="14.4">
      <c r="A14" s="108"/>
      <c r="B14" s="116"/>
      <c r="C14" s="116"/>
      <c r="D14" s="116"/>
      <c r="E14" s="116"/>
      <c r="F14" s="116"/>
      <c r="G14" s="105"/>
      <c r="H14" s="194"/>
      <c r="I14" s="108"/>
    </row>
    <row r="15" spans="1:12" ht="14.4">
      <c r="A15" s="108"/>
      <c r="B15" s="633" t="s">
        <v>418</v>
      </c>
      <c r="C15" s="599" t="s">
        <v>538</v>
      </c>
      <c r="D15" s="633" t="s">
        <v>344</v>
      </c>
      <c r="E15" s="633" t="s">
        <v>345</v>
      </c>
      <c r="F15" s="634" t="s">
        <v>628</v>
      </c>
      <c r="G15" s="634" t="s">
        <v>540</v>
      </c>
      <c r="H15" s="632" t="s">
        <v>629</v>
      </c>
      <c r="I15" s="108"/>
    </row>
    <row r="16" spans="1:12" ht="16.2">
      <c r="A16" s="116"/>
      <c r="B16" s="773"/>
      <c r="C16" s="773"/>
      <c r="D16" s="773"/>
      <c r="E16" s="773"/>
      <c r="F16" s="773"/>
      <c r="G16" s="801"/>
      <c r="H16" s="802"/>
      <c r="I16" s="108"/>
    </row>
    <row r="17" spans="1:9" ht="16.2">
      <c r="A17" s="197">
        <v>1</v>
      </c>
      <c r="B17" s="811">
        <v>1</v>
      </c>
      <c r="C17" s="910" t="s">
        <v>338</v>
      </c>
      <c r="D17" s="910" t="s">
        <v>339</v>
      </c>
      <c r="E17" s="910" t="s">
        <v>364</v>
      </c>
      <c r="F17" s="811"/>
      <c r="G17" s="911">
        <v>24685</v>
      </c>
      <c r="H17" s="912"/>
      <c r="I17" s="108"/>
    </row>
    <row r="18" spans="1:9" ht="16.2">
      <c r="A18" s="197"/>
      <c r="B18" s="807"/>
      <c r="C18" s="808"/>
      <c r="D18" s="808"/>
      <c r="E18" s="809"/>
      <c r="F18" s="805"/>
      <c r="G18" s="757"/>
      <c r="H18" s="806"/>
      <c r="I18" s="108"/>
    </row>
    <row r="19" spans="1:9" ht="16.2">
      <c r="A19" s="197"/>
      <c r="B19" s="773"/>
      <c r="C19" s="803"/>
      <c r="D19" s="803"/>
      <c r="E19" s="803"/>
      <c r="F19" s="773"/>
      <c r="G19" s="757"/>
      <c r="H19" s="806"/>
      <c r="I19" s="108"/>
    </row>
    <row r="20" spans="1:9" ht="16.2">
      <c r="A20" s="197"/>
      <c r="B20" s="803"/>
      <c r="C20" s="773"/>
      <c r="D20" s="773"/>
      <c r="E20" s="773"/>
      <c r="F20" s="773"/>
      <c r="G20" s="810"/>
      <c r="H20" s="806"/>
      <c r="I20" s="108"/>
    </row>
    <row r="21" spans="1:9" ht="16.2">
      <c r="A21" s="108"/>
      <c r="B21" s="811"/>
      <c r="C21" s="811"/>
      <c r="D21" s="811"/>
      <c r="E21" s="811"/>
      <c r="F21" s="811"/>
      <c r="G21" s="812" t="s">
        <v>415</v>
      </c>
      <c r="H21" s="813"/>
      <c r="I21" s="108"/>
    </row>
    <row r="22" spans="1:9" ht="15.6">
      <c r="A22" s="108"/>
      <c r="B22" s="814"/>
      <c r="C22" s="814"/>
      <c r="D22" s="814"/>
      <c r="E22" s="814"/>
      <c r="F22" s="814"/>
      <c r="G22" s="224" t="s">
        <v>273</v>
      </c>
      <c r="H22" s="203">
        <f>SUM(H15:H21)</f>
        <v>0</v>
      </c>
      <c r="I22" s="108"/>
    </row>
    <row r="23" spans="1:9" ht="16.2">
      <c r="A23" s="108"/>
      <c r="B23" s="814"/>
      <c r="C23" s="814"/>
      <c r="D23" s="814"/>
      <c r="E23" s="814"/>
      <c r="F23" s="814"/>
      <c r="G23" s="815"/>
      <c r="H23" s="815"/>
      <c r="I23" s="108"/>
    </row>
    <row r="24" spans="1:9" ht="16.2">
      <c r="A24" s="108"/>
      <c r="B24" s="814"/>
      <c r="C24" s="814" t="s">
        <v>248</v>
      </c>
      <c r="D24" s="814"/>
      <c r="E24" s="814"/>
      <c r="F24" s="814" t="s">
        <v>588</v>
      </c>
      <c r="G24" s="815"/>
      <c r="H24" s="815"/>
      <c r="I24" s="108"/>
    </row>
    <row r="25" spans="1:9" ht="16.2">
      <c r="A25" s="108"/>
      <c r="B25" s="814"/>
      <c r="C25" s="814"/>
      <c r="D25" s="814"/>
      <c r="E25" s="814"/>
      <c r="F25" s="814"/>
      <c r="G25" s="815"/>
      <c r="H25" s="815"/>
      <c r="I25" s="108"/>
    </row>
    <row r="26" spans="1:9" ht="16.2">
      <c r="A26" s="108"/>
      <c r="B26" s="814"/>
      <c r="C26" s="814"/>
      <c r="D26" s="814"/>
      <c r="E26" s="814"/>
      <c r="F26" s="814"/>
      <c r="G26" s="816"/>
      <c r="H26" s="815"/>
      <c r="I26" s="108"/>
    </row>
    <row r="27" spans="1:9" ht="16.2">
      <c r="A27" s="108"/>
      <c r="B27" s="814"/>
      <c r="C27" s="817" t="s">
        <v>173</v>
      </c>
      <c r="D27" s="817"/>
      <c r="E27" s="817"/>
      <c r="F27" s="817" t="s">
        <v>42</v>
      </c>
      <c r="G27" s="818"/>
      <c r="H27" s="815"/>
      <c r="I27" s="108"/>
    </row>
    <row r="28" spans="1:9" ht="16.2">
      <c r="A28" s="108"/>
      <c r="B28" s="814"/>
      <c r="C28" s="814" t="s">
        <v>343</v>
      </c>
      <c r="D28" s="819"/>
      <c r="E28" s="819"/>
      <c r="F28" s="814" t="s">
        <v>261</v>
      </c>
      <c r="G28" s="815"/>
      <c r="H28" s="815"/>
      <c r="I28" s="108"/>
    </row>
    <row r="29" spans="1:9" ht="13.8">
      <c r="A29" s="108"/>
      <c r="B29" s="108"/>
      <c r="C29" s="108"/>
      <c r="D29" s="108"/>
      <c r="E29" s="108"/>
      <c r="F29" s="108"/>
      <c r="G29" s="108"/>
      <c r="H29" s="112"/>
      <c r="I29" s="108"/>
    </row>
    <row r="30" spans="1:9">
      <c r="A30" s="108"/>
      <c r="B30" s="108"/>
      <c r="C30" s="108"/>
      <c r="D30" s="108"/>
      <c r="E30" s="108"/>
      <c r="F30" s="108"/>
      <c r="G30" s="108"/>
      <c r="H30" s="113"/>
      <c r="I30" s="108"/>
    </row>
    <row r="31" spans="1:9">
      <c r="A31" s="108"/>
      <c r="B31" s="108"/>
      <c r="C31" s="108"/>
      <c r="D31" s="108"/>
      <c r="E31" s="108"/>
      <c r="F31" s="108"/>
      <c r="G31" s="108"/>
      <c r="H31" s="113"/>
      <c r="I31" s="108"/>
    </row>
    <row r="32" spans="1:9">
      <c r="A32" s="108"/>
      <c r="B32" s="108"/>
      <c r="C32" s="108"/>
      <c r="D32" s="108"/>
      <c r="E32" s="108"/>
      <c r="F32" s="108"/>
      <c r="G32" s="108"/>
      <c r="H32" s="113"/>
      <c r="I32" s="108"/>
    </row>
    <row r="33" spans="1:9">
      <c r="A33" s="108"/>
      <c r="B33" s="108"/>
      <c r="C33" s="108"/>
      <c r="D33" s="108"/>
      <c r="E33" s="108"/>
      <c r="F33" s="108"/>
      <c r="G33" s="108"/>
      <c r="H33" s="113"/>
      <c r="I33" s="108"/>
    </row>
    <row r="34" spans="1:9">
      <c r="A34" s="108"/>
      <c r="B34" s="108"/>
      <c r="C34" s="108"/>
      <c r="D34" s="108"/>
      <c r="E34" s="108"/>
      <c r="F34" s="108"/>
      <c r="G34" s="108"/>
      <c r="H34" s="113"/>
      <c r="I34" s="108"/>
    </row>
    <row r="51" spans="1:9" ht="14.4">
      <c r="A51" s="108"/>
      <c r="B51" s="108"/>
      <c r="C51" s="108"/>
      <c r="D51" s="108"/>
      <c r="E51" s="108"/>
      <c r="F51" s="108"/>
      <c r="G51" s="1146" t="s">
        <v>0</v>
      </c>
      <c r="H51" s="1146"/>
      <c r="I51" s="108"/>
    </row>
    <row r="52" spans="1:9" ht="14.4">
      <c r="A52" s="108"/>
      <c r="B52" s="108"/>
      <c r="C52" s="108"/>
      <c r="D52" s="108"/>
      <c r="E52" s="108"/>
      <c r="F52" s="108"/>
      <c r="G52" s="1146" t="s">
        <v>1</v>
      </c>
      <c r="H52" s="1146"/>
      <c r="I52" s="108"/>
    </row>
    <row r="53" spans="1:9" ht="14.4">
      <c r="A53" s="108"/>
      <c r="B53" s="108"/>
      <c r="C53" s="108"/>
      <c r="D53" s="108"/>
      <c r="E53" s="108"/>
      <c r="F53" s="108"/>
      <c r="G53" s="1146" t="s">
        <v>341</v>
      </c>
      <c r="H53" s="1146"/>
      <c r="I53" s="108"/>
    </row>
    <row r="54" spans="1:9" ht="14.4">
      <c r="A54" s="108"/>
      <c r="B54" s="108"/>
      <c r="C54" s="108"/>
      <c r="D54" s="108"/>
      <c r="E54" s="108"/>
      <c r="F54" s="108"/>
      <c r="G54" s="106"/>
      <c r="H54" s="106"/>
      <c r="I54" s="108"/>
    </row>
    <row r="55" spans="1:9" ht="14.4">
      <c r="A55" s="108"/>
      <c r="B55" s="108"/>
      <c r="C55" s="108"/>
      <c r="D55" s="108"/>
      <c r="E55" s="108"/>
      <c r="F55" s="108"/>
      <c r="G55" s="1146" t="s">
        <v>342</v>
      </c>
      <c r="H55" s="1146"/>
      <c r="I55" s="108"/>
    </row>
    <row r="56" spans="1:9" ht="14.4">
      <c r="A56" s="108"/>
      <c r="B56" s="108"/>
      <c r="C56" s="108"/>
      <c r="D56" s="108"/>
      <c r="E56" s="108"/>
      <c r="F56" s="108"/>
      <c r="G56" s="106"/>
      <c r="H56" s="106"/>
      <c r="I56" s="108"/>
    </row>
    <row r="57" spans="1:9" ht="14.4">
      <c r="A57" s="108"/>
      <c r="B57" s="108"/>
      <c r="C57" s="108"/>
      <c r="D57" s="108"/>
      <c r="E57" s="108"/>
      <c r="F57" s="108"/>
      <c r="G57" s="1150" t="s">
        <v>411</v>
      </c>
      <c r="H57" s="1150"/>
      <c r="I57" s="108"/>
    </row>
    <row r="58" spans="1:9" ht="14.4">
      <c r="A58" s="1150" t="s">
        <v>416</v>
      </c>
      <c r="B58" s="1150"/>
      <c r="C58" s="1150"/>
      <c r="D58" s="1150"/>
      <c r="E58" s="1150"/>
      <c r="F58" s="1150"/>
      <c r="G58" s="1150"/>
      <c r="H58" s="1150"/>
      <c r="I58" s="1150"/>
    </row>
    <row r="59" spans="1:9" ht="14.4">
      <c r="A59" s="108" t="s">
        <v>22</v>
      </c>
      <c r="B59" s="108"/>
      <c r="C59" s="108"/>
      <c r="D59" s="108"/>
      <c r="E59" s="108"/>
      <c r="F59" s="108"/>
      <c r="G59" s="106"/>
      <c r="H59" s="106"/>
      <c r="I59" s="108"/>
    </row>
    <row r="60" spans="1:9" ht="14.4">
      <c r="A60" s="108"/>
      <c r="B60" s="116"/>
      <c r="C60" s="116"/>
      <c r="D60" s="116"/>
      <c r="E60" s="116"/>
      <c r="F60" s="116"/>
      <c r="G60" s="105" t="s">
        <v>269</v>
      </c>
      <c r="H60" s="194" t="s">
        <v>63</v>
      </c>
      <c r="I60" s="108"/>
    </row>
    <row r="61" spans="1:9" ht="14.4">
      <c r="A61" s="108"/>
      <c r="B61" s="116"/>
      <c r="C61" s="116"/>
      <c r="D61" s="116"/>
      <c r="E61" s="116"/>
      <c r="F61" s="116"/>
      <c r="G61" s="105"/>
      <c r="H61" s="194"/>
      <c r="I61" s="108"/>
    </row>
    <row r="62" spans="1:9" ht="14.4">
      <c r="A62" s="108"/>
      <c r="B62" s="108"/>
      <c r="C62" s="108"/>
      <c r="D62" s="108"/>
      <c r="E62" s="108"/>
      <c r="F62" s="108"/>
      <c r="G62" s="109" t="s">
        <v>412</v>
      </c>
      <c r="H62" s="195"/>
      <c r="I62" s="108"/>
    </row>
    <row r="63" spans="1:9" ht="14.4">
      <c r="A63" s="116"/>
      <c r="B63" s="27"/>
      <c r="C63" s="27"/>
      <c r="D63" s="27"/>
      <c r="E63" s="27"/>
      <c r="F63" s="27"/>
      <c r="G63" s="204"/>
      <c r="H63" s="196"/>
      <c r="I63" s="108"/>
    </row>
    <row r="64" spans="1:9" ht="14.4">
      <c r="A64" s="197">
        <v>1</v>
      </c>
      <c r="B64" s="27"/>
      <c r="C64" s="27"/>
      <c r="D64" s="27"/>
      <c r="E64" s="27"/>
      <c r="F64" s="27"/>
      <c r="G64" s="205" t="s">
        <v>165</v>
      </c>
      <c r="H64" s="199">
        <v>9964.2900000000009</v>
      </c>
      <c r="I64" s="108"/>
    </row>
    <row r="65" spans="1:9" ht="14.4">
      <c r="A65" s="197"/>
      <c r="B65" s="27"/>
      <c r="C65" s="27"/>
      <c r="D65" s="27"/>
      <c r="E65" s="27"/>
      <c r="F65" s="27"/>
      <c r="G65" s="198" t="s">
        <v>414</v>
      </c>
      <c r="H65" s="199">
        <v>3886.07</v>
      </c>
      <c r="I65" s="108"/>
    </row>
    <row r="66" spans="1:9" ht="14.4">
      <c r="A66" s="197"/>
      <c r="B66" s="111"/>
      <c r="C66" s="111"/>
      <c r="D66" s="111"/>
      <c r="E66" s="111"/>
      <c r="F66" s="111"/>
      <c r="G66" s="110" t="s">
        <v>413</v>
      </c>
      <c r="H66" s="199"/>
      <c r="I66" s="108"/>
    </row>
    <row r="67" spans="1:9" ht="14.4">
      <c r="A67" s="197">
        <v>2</v>
      </c>
      <c r="B67" s="206"/>
      <c r="C67" s="206"/>
      <c r="D67" s="206"/>
      <c r="E67" s="206"/>
      <c r="F67" s="206"/>
      <c r="G67" s="110" t="s">
        <v>417</v>
      </c>
      <c r="H67" s="199"/>
      <c r="I67" s="108"/>
    </row>
    <row r="68" spans="1:9" ht="14.4">
      <c r="A68" s="197"/>
      <c r="B68" s="27"/>
      <c r="C68" s="27"/>
      <c r="D68" s="27"/>
      <c r="E68" s="27"/>
      <c r="F68" s="27"/>
      <c r="G68" s="198"/>
      <c r="H68" s="199"/>
      <c r="I68" s="108"/>
    </row>
    <row r="69" spans="1:9" ht="14.4">
      <c r="A69" s="197">
        <v>3</v>
      </c>
      <c r="B69" s="27"/>
      <c r="C69" s="27"/>
      <c r="D69" s="27"/>
      <c r="E69" s="27"/>
      <c r="F69" s="27"/>
      <c r="G69" s="198"/>
      <c r="H69" s="196"/>
      <c r="I69" s="108"/>
    </row>
    <row r="70" spans="1:9" ht="14.4">
      <c r="A70" s="197">
        <v>4</v>
      </c>
      <c r="B70" s="27"/>
      <c r="C70" s="27"/>
      <c r="D70" s="27"/>
      <c r="E70" s="27"/>
      <c r="F70" s="27"/>
      <c r="G70" s="198"/>
      <c r="H70" s="200"/>
      <c r="I70" s="108"/>
    </row>
    <row r="71" spans="1:9" ht="14.4">
      <c r="A71" s="197"/>
      <c r="B71" s="631"/>
      <c r="C71" s="631"/>
      <c r="D71" s="631"/>
      <c r="E71" s="631"/>
      <c r="F71" s="631"/>
      <c r="G71" s="201"/>
      <c r="H71" s="200"/>
      <c r="I71" s="108"/>
    </row>
    <row r="72" spans="1:9" ht="14.4">
      <c r="A72" s="197"/>
      <c r="B72" s="27"/>
      <c r="C72" s="27"/>
      <c r="D72" s="27"/>
      <c r="E72" s="27"/>
      <c r="F72" s="27"/>
      <c r="G72" s="198"/>
      <c r="H72" s="200"/>
      <c r="I72" s="108"/>
    </row>
    <row r="73" spans="1:9" ht="14.4">
      <c r="A73" s="197"/>
      <c r="B73" s="27"/>
      <c r="C73" s="27"/>
      <c r="D73" s="27"/>
      <c r="E73" s="27"/>
      <c r="F73" s="27"/>
      <c r="G73" s="198"/>
      <c r="H73" s="200"/>
      <c r="I73" s="108"/>
    </row>
    <row r="74" spans="1:9" ht="14.4">
      <c r="A74" s="197"/>
      <c r="B74" s="27"/>
      <c r="C74" s="27"/>
      <c r="D74" s="27"/>
      <c r="E74" s="27"/>
      <c r="F74" s="27"/>
      <c r="G74" s="198"/>
      <c r="H74" s="200"/>
      <c r="I74" s="108"/>
    </row>
    <row r="75" spans="1:9" ht="14.4">
      <c r="A75" s="197"/>
      <c r="B75" s="27"/>
      <c r="C75" s="27"/>
      <c r="D75" s="27"/>
      <c r="E75" s="27"/>
      <c r="F75" s="27"/>
      <c r="G75" s="198"/>
      <c r="H75" s="200"/>
      <c r="I75" s="108"/>
    </row>
    <row r="76" spans="1:9" ht="14.4">
      <c r="A76" s="108"/>
      <c r="B76" s="27"/>
      <c r="C76" s="27"/>
      <c r="D76" s="27"/>
      <c r="E76" s="27"/>
      <c r="F76" s="27"/>
      <c r="G76" s="198"/>
      <c r="H76" s="202"/>
      <c r="I76" s="108"/>
    </row>
    <row r="77" spans="1:9" ht="15.6">
      <c r="A77" s="108"/>
      <c r="B77" s="108"/>
      <c r="C77" s="108"/>
      <c r="D77" s="108"/>
      <c r="E77" s="108"/>
      <c r="F77" s="108"/>
      <c r="G77" s="107" t="s">
        <v>273</v>
      </c>
      <c r="H77" s="203">
        <f>SUM(H62:H76)</f>
        <v>13850.36</v>
      </c>
      <c r="I77" s="108"/>
    </row>
    <row r="78" spans="1:9" ht="14.4">
      <c r="A78" s="108"/>
      <c r="B78" s="108"/>
      <c r="C78" s="108"/>
      <c r="D78" s="108"/>
      <c r="E78" s="108"/>
      <c r="F78" s="108"/>
      <c r="G78" s="106"/>
      <c r="H78" s="106"/>
      <c r="I78" s="108"/>
    </row>
    <row r="79" spans="1:9" ht="14.4">
      <c r="A79" s="108"/>
      <c r="B79" s="108"/>
      <c r="C79" s="108"/>
      <c r="D79" s="108"/>
      <c r="E79" s="108"/>
      <c r="F79" s="108"/>
      <c r="G79" s="106"/>
      <c r="H79" s="106"/>
      <c r="I79" s="108"/>
    </row>
    <row r="80" spans="1:9" ht="14.4">
      <c r="A80" s="108"/>
      <c r="B80" s="108"/>
      <c r="C80" s="108"/>
      <c r="D80" s="108"/>
      <c r="E80" s="108"/>
      <c r="F80" s="108"/>
      <c r="G80" s="106"/>
      <c r="H80" s="106"/>
      <c r="I80" s="108"/>
    </row>
    <row r="81" spans="1:9" ht="14.4">
      <c r="A81" s="108"/>
      <c r="B81" s="108"/>
      <c r="C81" s="108"/>
      <c r="D81" s="108"/>
      <c r="E81" s="108"/>
      <c r="F81" s="108"/>
      <c r="G81" s="112"/>
      <c r="H81" s="106" t="s">
        <v>248</v>
      </c>
      <c r="I81" s="108"/>
    </row>
    <row r="82" spans="1:9" ht="14.4">
      <c r="A82" s="108"/>
      <c r="B82" s="108"/>
      <c r="C82" s="108"/>
      <c r="D82" s="108"/>
      <c r="E82" s="108"/>
      <c r="F82" s="108"/>
      <c r="G82" s="113"/>
      <c r="H82" s="106"/>
      <c r="I82" s="108"/>
    </row>
    <row r="83" spans="1:9" ht="14.4">
      <c r="A83" s="108"/>
      <c r="B83" s="108"/>
      <c r="C83" s="108"/>
      <c r="D83" s="108"/>
      <c r="E83" s="108"/>
      <c r="F83" s="108"/>
      <c r="G83" s="106"/>
      <c r="H83" s="106"/>
      <c r="I83" s="108"/>
    </row>
    <row r="84" spans="1:9" ht="13.8">
      <c r="A84" s="108"/>
      <c r="B84" s="108"/>
      <c r="C84" s="108"/>
      <c r="D84" s="108"/>
      <c r="E84" s="108"/>
      <c r="F84" s="108"/>
      <c r="G84" s="108"/>
      <c r="H84" s="112" t="s">
        <v>173</v>
      </c>
      <c r="I84" s="108"/>
    </row>
    <row r="85" spans="1:9">
      <c r="A85" s="108"/>
      <c r="B85" s="108"/>
      <c r="C85" s="108"/>
      <c r="D85" s="108"/>
      <c r="E85" s="108"/>
      <c r="F85" s="108"/>
      <c r="G85" s="108"/>
      <c r="H85" s="113" t="s">
        <v>408</v>
      </c>
      <c r="I85" s="108"/>
    </row>
    <row r="89" spans="1:9">
      <c r="A89" s="50"/>
      <c r="B89" s="50"/>
      <c r="C89" s="50"/>
      <c r="D89" s="50"/>
      <c r="E89" s="50"/>
      <c r="F89" s="50"/>
      <c r="G89" s="50"/>
      <c r="H89" s="50"/>
      <c r="I89" s="50"/>
    </row>
    <row r="90" spans="1:9">
      <c r="A90" s="50"/>
      <c r="B90" s="50"/>
      <c r="C90" s="50"/>
      <c r="D90" s="50"/>
      <c r="E90" s="50"/>
      <c r="F90" s="50"/>
      <c r="G90" s="50"/>
      <c r="H90" s="50"/>
      <c r="I90" s="50"/>
    </row>
    <row r="91" spans="1:9">
      <c r="A91" s="50"/>
      <c r="B91" s="50"/>
      <c r="C91" s="50"/>
      <c r="D91" s="50"/>
      <c r="E91" s="50"/>
      <c r="F91" s="50"/>
      <c r="G91" s="50"/>
      <c r="H91" s="50"/>
      <c r="I91" s="50"/>
    </row>
    <row r="92" spans="1:9">
      <c r="A92" s="50"/>
      <c r="B92" s="50"/>
      <c r="C92" s="50"/>
      <c r="D92" s="50"/>
      <c r="E92" s="50"/>
      <c r="F92" s="50"/>
      <c r="G92" s="50"/>
      <c r="H92" s="50"/>
      <c r="I92" s="50"/>
    </row>
    <row r="93" spans="1:9">
      <c r="A93" s="50"/>
      <c r="B93" s="50"/>
      <c r="C93" s="50"/>
      <c r="D93" s="50"/>
      <c r="E93" s="50"/>
      <c r="F93" s="50"/>
      <c r="G93" s="50"/>
      <c r="H93" s="50"/>
      <c r="I93" s="50"/>
    </row>
    <row r="102" spans="7:10" ht="14.4">
      <c r="G102" s="1146"/>
      <c r="H102" s="1146"/>
      <c r="I102" s="1146"/>
      <c r="J102" s="108"/>
    </row>
    <row r="103" spans="7:10" ht="14.4">
      <c r="G103" s="1146"/>
      <c r="H103" s="1146"/>
      <c r="I103" s="1146"/>
      <c r="J103" s="108"/>
    </row>
    <row r="104" spans="7:10" ht="14.4">
      <c r="G104" s="108"/>
      <c r="H104" s="106"/>
      <c r="I104" s="106"/>
      <c r="J104" s="108"/>
    </row>
    <row r="105" spans="7:10" ht="14.4">
      <c r="G105" s="1146"/>
      <c r="H105" s="1146"/>
      <c r="I105" s="1146"/>
      <c r="J105" s="108"/>
    </row>
    <row r="106" spans="7:10" ht="14.4">
      <c r="G106" s="1146"/>
      <c r="H106" s="1146"/>
      <c r="I106" s="1146"/>
      <c r="J106" s="108"/>
    </row>
    <row r="107" spans="7:10" ht="14.4">
      <c r="G107" s="1150"/>
      <c r="H107" s="1150"/>
      <c r="I107" s="1150"/>
      <c r="J107" s="108"/>
    </row>
    <row r="108" spans="7:10" ht="14.4">
      <c r="G108" s="1150"/>
      <c r="H108" s="1150"/>
      <c r="I108" s="1150"/>
      <c r="J108" s="1150"/>
    </row>
    <row r="109" spans="7:10" ht="14.4">
      <c r="G109" s="108"/>
      <c r="H109" s="106"/>
      <c r="I109" s="106"/>
      <c r="J109" s="108"/>
    </row>
    <row r="110" spans="7:10" ht="14.4">
      <c r="G110" s="106"/>
      <c r="H110" s="106"/>
      <c r="I110" s="194"/>
      <c r="J110" s="108"/>
    </row>
    <row r="111" spans="7:10" ht="14.4">
      <c r="G111" s="108"/>
      <c r="H111" s="105"/>
      <c r="I111" s="194"/>
      <c r="J111" s="108"/>
    </row>
    <row r="112" spans="7:10" ht="14.4">
      <c r="G112" s="108"/>
      <c r="H112" s="108"/>
      <c r="I112" s="195"/>
      <c r="J112" s="108"/>
    </row>
    <row r="113" spans="7:10" ht="14.4">
      <c r="G113" s="116"/>
      <c r="H113" s="114"/>
      <c r="I113" s="207"/>
      <c r="J113" s="108"/>
    </row>
    <row r="114" spans="7:10" ht="14.4">
      <c r="G114" s="114"/>
      <c r="H114" s="114"/>
      <c r="I114" s="195"/>
      <c r="J114" s="108"/>
    </row>
    <row r="115" spans="7:10" ht="14.4">
      <c r="G115" s="197"/>
      <c r="H115" s="109"/>
      <c r="I115" s="195"/>
      <c r="J115" s="108"/>
    </row>
    <row r="116" spans="7:10" ht="14.4">
      <c r="G116" s="197"/>
      <c r="H116" s="108"/>
      <c r="I116" s="195"/>
      <c r="J116" s="108"/>
    </row>
    <row r="117" spans="7:10" ht="14.4">
      <c r="G117" s="197"/>
      <c r="H117" s="109"/>
      <c r="I117" s="195"/>
      <c r="J117" s="108"/>
    </row>
    <row r="118" spans="7:10" ht="14.4">
      <c r="G118" s="197"/>
      <c r="H118" s="109"/>
      <c r="I118" s="195"/>
      <c r="J118" s="108"/>
    </row>
    <row r="119" spans="7:10" ht="14.4">
      <c r="G119" s="197"/>
      <c r="H119" s="208"/>
      <c r="I119" s="207"/>
      <c r="J119" s="108"/>
    </row>
    <row r="120" spans="7:10" ht="14.4">
      <c r="G120" s="197"/>
      <c r="H120" s="108"/>
      <c r="I120" s="209"/>
      <c r="J120" s="108"/>
    </row>
    <row r="121" spans="7:10" ht="14.4">
      <c r="G121" s="197"/>
      <c r="H121" s="109"/>
      <c r="I121" s="209"/>
      <c r="J121" s="108"/>
    </row>
    <row r="122" spans="7:10" ht="14.4">
      <c r="G122" s="197"/>
      <c r="H122" s="109"/>
      <c r="I122" s="209"/>
      <c r="J122" s="108"/>
    </row>
    <row r="123" spans="7:10" ht="14.4">
      <c r="G123" s="197"/>
      <c r="H123" s="108"/>
      <c r="I123" s="209"/>
      <c r="J123" s="108"/>
    </row>
    <row r="124" spans="7:10" ht="14.4">
      <c r="G124" s="197"/>
      <c r="H124" s="109"/>
      <c r="I124" s="209"/>
      <c r="J124" s="108"/>
    </row>
    <row r="125" spans="7:10" ht="14.4">
      <c r="G125" s="197"/>
      <c r="H125" s="108"/>
      <c r="I125" s="209"/>
      <c r="J125" s="108"/>
    </row>
    <row r="126" spans="7:10" ht="14.4">
      <c r="G126" s="108"/>
      <c r="H126" s="108"/>
      <c r="I126" s="210"/>
      <c r="J126" s="108"/>
    </row>
    <row r="127" spans="7:10" ht="14.4">
      <c r="G127" s="108"/>
      <c r="H127" s="107"/>
      <c r="I127" s="195"/>
      <c r="J127" s="108"/>
    </row>
    <row r="128" spans="7:10" ht="14.4">
      <c r="G128" s="108"/>
      <c r="H128" s="106"/>
      <c r="I128" s="106"/>
      <c r="J128" s="108"/>
    </row>
    <row r="129" spans="7:10" ht="14.4">
      <c r="G129" s="108"/>
      <c r="H129" s="106"/>
      <c r="I129" s="106"/>
      <c r="J129" s="108"/>
    </row>
    <row r="130" spans="7:10" ht="14.4">
      <c r="G130" s="108"/>
      <c r="H130" s="106"/>
      <c r="I130" s="106"/>
      <c r="J130" s="108"/>
    </row>
    <row r="131" spans="7:10" ht="14.4">
      <c r="G131" s="108"/>
      <c r="H131" s="112"/>
      <c r="I131" s="106"/>
      <c r="J131" s="108"/>
    </row>
    <row r="132" spans="7:10" ht="14.4">
      <c r="G132" s="108"/>
      <c r="H132" s="113"/>
      <c r="I132" s="106"/>
      <c r="J132" s="108"/>
    </row>
    <row r="133" spans="7:10" ht="14.4">
      <c r="G133" s="108"/>
      <c r="H133" s="106"/>
      <c r="I133" s="106"/>
      <c r="J133" s="108"/>
    </row>
    <row r="134" spans="7:10" ht="13.8">
      <c r="G134" s="108"/>
      <c r="H134" s="108"/>
      <c r="I134" s="112"/>
      <c r="J134" s="108"/>
    </row>
    <row r="135" spans="7:10">
      <c r="G135" s="108"/>
      <c r="H135" s="108"/>
      <c r="I135" s="113"/>
      <c r="J135" s="108"/>
    </row>
  </sheetData>
  <mergeCells count="18">
    <mergeCell ref="A11:I11"/>
    <mergeCell ref="G4:H4"/>
    <mergeCell ref="C5:H5"/>
    <mergeCell ref="C6:H6"/>
    <mergeCell ref="C7:H7"/>
    <mergeCell ref="C10:H10"/>
    <mergeCell ref="G108:J108"/>
    <mergeCell ref="G51:H51"/>
    <mergeCell ref="G52:H52"/>
    <mergeCell ref="G53:H53"/>
    <mergeCell ref="G55:H55"/>
    <mergeCell ref="G57:H57"/>
    <mergeCell ref="A58:I58"/>
    <mergeCell ref="G102:I102"/>
    <mergeCell ref="G103:I103"/>
    <mergeCell ref="G105:I105"/>
    <mergeCell ref="G106:I106"/>
    <mergeCell ref="G107:I10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L136"/>
  <sheetViews>
    <sheetView topLeftCell="A4" workbookViewId="0">
      <selection activeCell="F13" sqref="F13"/>
    </sheetView>
  </sheetViews>
  <sheetFormatPr defaultColWidth="9" defaultRowHeight="13.2"/>
  <cols>
    <col min="1" max="1" width="1.109375" customWidth="1"/>
    <col min="2" max="2" width="4.77734375" customWidth="1"/>
    <col min="3" max="3" width="15.6640625" customWidth="1"/>
    <col min="4" max="4" width="19.33203125" customWidth="1"/>
    <col min="5" max="5" width="16" customWidth="1"/>
    <col min="6" max="6" width="12.109375" customWidth="1"/>
    <col min="7" max="7" width="14.109375" customWidth="1"/>
    <col min="8" max="8" width="17.77734375" customWidth="1"/>
    <col min="9" max="9" width="9.44140625" customWidth="1"/>
  </cols>
  <sheetData>
    <row r="4" spans="1:12" ht="14.4">
      <c r="A4" s="108"/>
      <c r="B4" s="108"/>
      <c r="C4" s="108"/>
      <c r="D4" s="108"/>
      <c r="E4" s="108"/>
      <c r="F4" s="108"/>
      <c r="G4" s="1146"/>
      <c r="H4" s="1146"/>
      <c r="I4" s="108"/>
    </row>
    <row r="5" spans="1:12" ht="14.4">
      <c r="A5" s="108"/>
      <c r="B5" s="108"/>
      <c r="C5" s="1146"/>
      <c r="D5" s="1146"/>
      <c r="E5" s="1146"/>
      <c r="F5" s="1146"/>
      <c r="G5" s="1146"/>
      <c r="H5" s="1146"/>
      <c r="I5" s="105"/>
      <c r="J5" s="105"/>
      <c r="K5" s="105"/>
      <c r="L5" s="105"/>
    </row>
    <row r="6" spans="1:12" ht="14.4">
      <c r="A6" s="108"/>
      <c r="B6" s="108"/>
      <c r="C6" s="1146"/>
      <c r="D6" s="1146"/>
      <c r="E6" s="1146"/>
      <c r="F6" s="1146"/>
      <c r="G6" s="1146"/>
      <c r="H6" s="1146"/>
      <c r="I6" s="105"/>
      <c r="J6" s="105"/>
      <c r="K6" s="105"/>
      <c r="L6" s="105"/>
    </row>
    <row r="7" spans="1:12" ht="14.4">
      <c r="A7" s="108"/>
      <c r="B7" s="108"/>
      <c r="C7" s="1147" t="s">
        <v>342</v>
      </c>
      <c r="D7" s="1147"/>
      <c r="E7" s="1147"/>
      <c r="F7" s="1147"/>
      <c r="G7" s="1147"/>
      <c r="H7" s="1147"/>
      <c r="I7" s="105"/>
      <c r="J7" s="105"/>
      <c r="K7" s="105"/>
      <c r="L7" s="105"/>
    </row>
    <row r="8" spans="1:12" ht="14.4">
      <c r="A8" s="108"/>
      <c r="B8" s="108"/>
      <c r="C8" s="116"/>
      <c r="D8" s="116"/>
      <c r="E8" s="116"/>
      <c r="F8" s="116"/>
      <c r="G8" s="116"/>
      <c r="H8" s="105"/>
      <c r="I8" s="105"/>
      <c r="J8" s="116"/>
      <c r="K8" s="116"/>
      <c r="L8" s="116"/>
    </row>
    <row r="9" spans="1:12" ht="14.4">
      <c r="A9" s="108"/>
      <c r="B9" s="108"/>
      <c r="C9" s="621" t="s">
        <v>631</v>
      </c>
      <c r="D9" s="621"/>
      <c r="E9" s="621"/>
      <c r="F9" s="621"/>
      <c r="G9" s="622"/>
      <c r="H9" s="622"/>
      <c r="I9" s="107"/>
      <c r="J9" s="107"/>
      <c r="K9" s="107"/>
      <c r="L9" s="107"/>
    </row>
    <row r="10" spans="1:12" ht="14.4">
      <c r="A10" s="108"/>
      <c r="B10" s="108"/>
      <c r="C10" s="1150" t="s">
        <v>711</v>
      </c>
      <c r="D10" s="1151"/>
      <c r="E10" s="1151"/>
      <c r="F10" s="1151"/>
      <c r="G10" s="1151"/>
      <c r="H10" s="1151"/>
      <c r="J10" s="107"/>
      <c r="K10" s="107"/>
      <c r="L10" s="107"/>
    </row>
    <row r="11" spans="1:12" ht="14.4">
      <c r="A11" s="1150"/>
      <c r="B11" s="1150"/>
      <c r="C11" s="1150"/>
      <c r="D11" s="1150"/>
      <c r="E11" s="1150"/>
      <c r="F11" s="1150"/>
      <c r="G11" s="1150"/>
      <c r="H11" s="1150"/>
      <c r="I11" s="1150"/>
    </row>
    <row r="12" spans="1:12" ht="14.4">
      <c r="A12" s="108"/>
      <c r="B12" s="108"/>
      <c r="C12" s="108"/>
      <c r="D12" s="108"/>
      <c r="E12" s="108"/>
      <c r="F12" s="108"/>
      <c r="G12" s="106"/>
      <c r="H12" s="106"/>
      <c r="I12" s="108"/>
    </row>
    <row r="13" spans="1:12" ht="14.4">
      <c r="A13" s="108"/>
      <c r="B13" s="116"/>
      <c r="C13" s="116"/>
      <c r="D13" s="116"/>
      <c r="E13" s="116"/>
      <c r="F13" s="116"/>
      <c r="G13" s="105"/>
      <c r="H13" s="194"/>
      <c r="I13" s="108"/>
    </row>
    <row r="14" spans="1:12" ht="14.4">
      <c r="A14" s="108"/>
      <c r="B14" s="116"/>
      <c r="C14" s="116"/>
      <c r="D14" s="116"/>
      <c r="E14" s="116"/>
      <c r="F14" s="116"/>
      <c r="G14" s="105"/>
      <c r="H14" s="194"/>
      <c r="I14" s="108"/>
    </row>
    <row r="15" spans="1:12" ht="14.4">
      <c r="A15" s="108"/>
      <c r="B15" s="633" t="s">
        <v>418</v>
      </c>
      <c r="C15" s="599" t="s">
        <v>538</v>
      </c>
      <c r="D15" s="633" t="s">
        <v>344</v>
      </c>
      <c r="E15" s="633" t="s">
        <v>345</v>
      </c>
      <c r="F15" s="634" t="s">
        <v>628</v>
      </c>
      <c r="G15" s="634" t="s">
        <v>540</v>
      </c>
      <c r="H15" s="632" t="s">
        <v>629</v>
      </c>
      <c r="I15" s="108"/>
    </row>
    <row r="16" spans="1:12" ht="16.2">
      <c r="A16" s="116"/>
      <c r="B16" s="773"/>
      <c r="C16" s="773"/>
      <c r="D16" s="773"/>
      <c r="E16" s="773"/>
      <c r="F16" s="773"/>
      <c r="G16" s="801"/>
      <c r="H16" s="802"/>
      <c r="I16" s="108"/>
    </row>
    <row r="17" spans="1:9" ht="16.2">
      <c r="A17" s="197">
        <v>1</v>
      </c>
      <c r="B17" s="773">
        <v>1</v>
      </c>
      <c r="C17" s="803" t="s">
        <v>287</v>
      </c>
      <c r="D17" s="803" t="s">
        <v>288</v>
      </c>
      <c r="E17" s="803" t="s">
        <v>358</v>
      </c>
      <c r="F17" s="773"/>
      <c r="G17" s="757">
        <v>28404</v>
      </c>
      <c r="H17" s="804">
        <v>16413.23</v>
      </c>
      <c r="I17" s="108"/>
    </row>
    <row r="18" spans="1:9" ht="16.2">
      <c r="A18" s="197"/>
      <c r="B18" s="807" t="s">
        <v>144</v>
      </c>
      <c r="C18" s="808" t="s">
        <v>294</v>
      </c>
      <c r="D18" s="808" t="s">
        <v>295</v>
      </c>
      <c r="E18" s="809" t="s">
        <v>366</v>
      </c>
      <c r="F18" s="805"/>
      <c r="G18" s="757">
        <v>35129</v>
      </c>
      <c r="H18" s="806">
        <v>3788.1</v>
      </c>
      <c r="I18" s="108"/>
    </row>
    <row r="19" spans="1:9" ht="16.2">
      <c r="A19" s="197"/>
      <c r="B19" s="773">
        <v>3</v>
      </c>
      <c r="C19" s="803" t="s">
        <v>328</v>
      </c>
      <c r="D19" s="803" t="s">
        <v>329</v>
      </c>
      <c r="E19" s="803" t="s">
        <v>552</v>
      </c>
      <c r="F19" s="773"/>
      <c r="G19" s="757">
        <v>35258</v>
      </c>
      <c r="H19" s="806">
        <v>10258.27</v>
      </c>
      <c r="I19" s="108"/>
    </row>
    <row r="20" spans="1:9" ht="16.2">
      <c r="A20" s="197"/>
      <c r="B20" s="773">
        <v>4</v>
      </c>
      <c r="C20" s="803" t="s">
        <v>278</v>
      </c>
      <c r="D20" s="773" t="s">
        <v>279</v>
      </c>
      <c r="E20" s="803" t="s">
        <v>351</v>
      </c>
      <c r="F20" s="773"/>
      <c r="G20" s="908">
        <v>26680</v>
      </c>
      <c r="H20" s="806">
        <v>15756.7</v>
      </c>
      <c r="I20" s="108"/>
    </row>
    <row r="21" spans="1:9" ht="16.2">
      <c r="A21" s="197"/>
      <c r="B21" s="759">
        <v>5</v>
      </c>
      <c r="C21" s="761" t="s">
        <v>330</v>
      </c>
      <c r="D21" s="761" t="s">
        <v>331</v>
      </c>
      <c r="E21" s="761" t="s">
        <v>399</v>
      </c>
      <c r="F21" s="759"/>
      <c r="G21" s="735">
        <v>32178</v>
      </c>
      <c r="H21" s="909">
        <v>15576.7</v>
      </c>
      <c r="I21" s="108"/>
    </row>
    <row r="22" spans="1:9" ht="16.2">
      <c r="A22" s="108"/>
      <c r="B22" s="773">
        <v>6</v>
      </c>
      <c r="C22" s="803" t="s">
        <v>338</v>
      </c>
      <c r="D22" s="803" t="s">
        <v>339</v>
      </c>
      <c r="E22" s="803" t="s">
        <v>364</v>
      </c>
      <c r="F22" s="773"/>
      <c r="G22" s="735">
        <v>24685</v>
      </c>
      <c r="H22" s="813">
        <v>4577.29</v>
      </c>
      <c r="I22" s="108"/>
    </row>
    <row r="23" spans="1:9" ht="15.6">
      <c r="A23" s="108"/>
      <c r="B23" s="814"/>
      <c r="C23" s="814"/>
      <c r="D23" s="814"/>
      <c r="E23" s="814"/>
      <c r="F23" s="814"/>
      <c r="G23" s="224" t="s">
        <v>273</v>
      </c>
      <c r="H23" s="203">
        <f>SUM(H15:H22)</f>
        <v>66370.289999999994</v>
      </c>
      <c r="I23" s="108"/>
    </row>
    <row r="24" spans="1:9" ht="16.2">
      <c r="A24" s="108"/>
      <c r="B24" s="814"/>
      <c r="C24" s="814"/>
      <c r="D24" s="814"/>
      <c r="E24" s="814"/>
      <c r="F24" s="814"/>
      <c r="G24" s="815"/>
      <c r="H24" s="815"/>
      <c r="I24" s="108"/>
    </row>
    <row r="25" spans="1:9" ht="16.2">
      <c r="A25" s="108"/>
      <c r="B25" s="814"/>
      <c r="C25" s="814" t="s">
        <v>248</v>
      </c>
      <c r="D25" s="814"/>
      <c r="E25" s="814"/>
      <c r="F25" s="814" t="s">
        <v>588</v>
      </c>
      <c r="G25" s="815"/>
      <c r="H25" s="815"/>
      <c r="I25" s="108"/>
    </row>
    <row r="26" spans="1:9" ht="16.2">
      <c r="A26" s="108"/>
      <c r="B26" s="814"/>
      <c r="C26" s="814"/>
      <c r="D26" s="814"/>
      <c r="E26" s="814"/>
      <c r="F26" s="814"/>
      <c r="G26" s="815"/>
      <c r="H26" s="815"/>
      <c r="I26" s="108"/>
    </row>
    <row r="27" spans="1:9" ht="16.2">
      <c r="A27" s="108"/>
      <c r="B27" s="814"/>
      <c r="C27" s="814"/>
      <c r="D27" s="814"/>
      <c r="E27" s="814"/>
      <c r="F27" s="814"/>
      <c r="G27" s="816"/>
      <c r="H27" s="815"/>
      <c r="I27" s="108"/>
    </row>
    <row r="28" spans="1:9" ht="16.2">
      <c r="A28" s="108"/>
      <c r="B28" s="814"/>
      <c r="C28" s="817" t="s">
        <v>173</v>
      </c>
      <c r="D28" s="817"/>
      <c r="E28" s="817"/>
      <c r="F28" s="817" t="s">
        <v>42</v>
      </c>
      <c r="G28" s="818"/>
      <c r="H28" s="815"/>
      <c r="I28" s="108"/>
    </row>
    <row r="29" spans="1:9" ht="16.2">
      <c r="A29" s="108"/>
      <c r="B29" s="814"/>
      <c r="C29" s="814" t="s">
        <v>343</v>
      </c>
      <c r="D29" s="819"/>
      <c r="E29" s="819"/>
      <c r="F29" s="814" t="s">
        <v>261</v>
      </c>
      <c r="G29" s="815"/>
      <c r="H29" s="815"/>
      <c r="I29" s="108"/>
    </row>
    <row r="30" spans="1:9" ht="13.8">
      <c r="A30" s="108"/>
      <c r="B30" s="108"/>
      <c r="C30" s="108"/>
      <c r="D30" s="108"/>
      <c r="E30" s="108"/>
      <c r="F30" s="108"/>
      <c r="G30" s="108"/>
      <c r="H30" s="112"/>
      <c r="I30" s="108"/>
    </row>
    <row r="31" spans="1:9">
      <c r="A31" s="108"/>
      <c r="B31" s="108"/>
      <c r="C31" s="108"/>
      <c r="D31" s="108"/>
      <c r="E31" s="108"/>
      <c r="F31" s="108"/>
      <c r="G31" s="108"/>
      <c r="H31" s="113"/>
      <c r="I31" s="108"/>
    </row>
    <row r="32" spans="1:9">
      <c r="A32" s="108"/>
      <c r="B32" s="108"/>
      <c r="C32" s="108"/>
      <c r="D32" s="108"/>
      <c r="E32" s="108"/>
      <c r="F32" s="108"/>
      <c r="G32" s="108"/>
      <c r="H32" s="113"/>
      <c r="I32" s="108"/>
    </row>
    <row r="33" spans="1:9">
      <c r="A33" s="108"/>
      <c r="B33" s="108"/>
      <c r="C33" s="108"/>
      <c r="D33" s="108"/>
      <c r="E33" s="108"/>
      <c r="F33" s="108"/>
      <c r="G33" s="108"/>
      <c r="H33" s="113"/>
      <c r="I33" s="108"/>
    </row>
    <row r="34" spans="1:9">
      <c r="A34" s="108"/>
      <c r="B34" s="108"/>
      <c r="C34" s="108"/>
      <c r="D34" s="108"/>
      <c r="E34" s="108"/>
      <c r="F34" s="108"/>
      <c r="G34" s="108"/>
      <c r="H34" s="113"/>
      <c r="I34" s="108"/>
    </row>
    <row r="35" spans="1:9">
      <c r="A35" s="108"/>
      <c r="B35" s="108"/>
      <c r="C35" s="108"/>
      <c r="D35" s="108"/>
      <c r="E35" s="108"/>
      <c r="F35" s="108"/>
      <c r="G35" s="108"/>
      <c r="H35" s="113"/>
      <c r="I35" s="108"/>
    </row>
    <row r="52" spans="1:9" ht="14.4">
      <c r="A52" s="108"/>
      <c r="B52" s="108"/>
      <c r="C52" s="108"/>
      <c r="D52" s="108"/>
      <c r="E52" s="108"/>
      <c r="F52" s="108"/>
      <c r="G52" s="1146" t="s">
        <v>0</v>
      </c>
      <c r="H52" s="1146"/>
      <c r="I52" s="108"/>
    </row>
    <row r="53" spans="1:9" ht="14.4">
      <c r="A53" s="108"/>
      <c r="B53" s="108"/>
      <c r="C53" s="108"/>
      <c r="D53" s="108"/>
      <c r="E53" s="108"/>
      <c r="F53" s="108"/>
      <c r="G53" s="1146" t="s">
        <v>1</v>
      </c>
      <c r="H53" s="1146"/>
      <c r="I53" s="108"/>
    </row>
    <row r="54" spans="1:9" ht="14.4">
      <c r="A54" s="108"/>
      <c r="B54" s="108"/>
      <c r="C54" s="108"/>
      <c r="D54" s="108"/>
      <c r="E54" s="108"/>
      <c r="F54" s="108"/>
      <c r="G54" s="1146" t="s">
        <v>341</v>
      </c>
      <c r="H54" s="1146"/>
      <c r="I54" s="108"/>
    </row>
    <row r="55" spans="1:9" ht="14.4">
      <c r="A55" s="108"/>
      <c r="B55" s="108"/>
      <c r="C55" s="108"/>
      <c r="D55" s="108"/>
      <c r="E55" s="108"/>
      <c r="F55" s="108"/>
      <c r="G55" s="106"/>
      <c r="H55" s="106"/>
      <c r="I55" s="108"/>
    </row>
    <row r="56" spans="1:9" ht="14.4">
      <c r="A56" s="108"/>
      <c r="B56" s="108"/>
      <c r="C56" s="108"/>
      <c r="D56" s="108"/>
      <c r="E56" s="108"/>
      <c r="F56" s="108"/>
      <c r="G56" s="1146" t="s">
        <v>342</v>
      </c>
      <c r="H56" s="1146"/>
      <c r="I56" s="108"/>
    </row>
    <row r="57" spans="1:9" ht="14.4">
      <c r="A57" s="108"/>
      <c r="B57" s="108"/>
      <c r="C57" s="108"/>
      <c r="D57" s="108"/>
      <c r="E57" s="108"/>
      <c r="F57" s="108"/>
      <c r="G57" s="106"/>
      <c r="H57" s="106"/>
      <c r="I57" s="108"/>
    </row>
    <row r="58" spans="1:9" ht="14.4">
      <c r="A58" s="108"/>
      <c r="B58" s="108"/>
      <c r="C58" s="108"/>
      <c r="D58" s="108"/>
      <c r="E58" s="108"/>
      <c r="F58" s="108"/>
      <c r="G58" s="1150" t="s">
        <v>411</v>
      </c>
      <c r="H58" s="1150"/>
      <c r="I58" s="108"/>
    </row>
    <row r="59" spans="1:9" ht="14.4">
      <c r="A59" s="1150" t="s">
        <v>416</v>
      </c>
      <c r="B59" s="1150"/>
      <c r="C59" s="1150"/>
      <c r="D59" s="1150"/>
      <c r="E59" s="1150"/>
      <c r="F59" s="1150"/>
      <c r="G59" s="1150"/>
      <c r="H59" s="1150"/>
      <c r="I59" s="1150"/>
    </row>
    <row r="60" spans="1:9" ht="14.4">
      <c r="A60" s="108" t="s">
        <v>22</v>
      </c>
      <c r="B60" s="108"/>
      <c r="C60" s="108"/>
      <c r="D60" s="108"/>
      <c r="E60" s="108"/>
      <c r="F60" s="108"/>
      <c r="G60" s="106"/>
      <c r="H60" s="106"/>
      <c r="I60" s="108"/>
    </row>
    <row r="61" spans="1:9" ht="14.4">
      <c r="A61" s="108"/>
      <c r="B61" s="116"/>
      <c r="C61" s="116"/>
      <c r="D61" s="116"/>
      <c r="E61" s="116"/>
      <c r="F61" s="116"/>
      <c r="G61" s="105" t="s">
        <v>269</v>
      </c>
      <c r="H61" s="194" t="s">
        <v>63</v>
      </c>
      <c r="I61" s="108"/>
    </row>
    <row r="62" spans="1:9" ht="14.4">
      <c r="A62" s="108"/>
      <c r="B62" s="116"/>
      <c r="C62" s="116"/>
      <c r="D62" s="116"/>
      <c r="E62" s="116"/>
      <c r="F62" s="116"/>
      <c r="G62" s="105"/>
      <c r="H62" s="194"/>
      <c r="I62" s="108"/>
    </row>
    <row r="63" spans="1:9" ht="14.4">
      <c r="A63" s="108"/>
      <c r="B63" s="108"/>
      <c r="C63" s="108"/>
      <c r="D63" s="108"/>
      <c r="E63" s="108"/>
      <c r="F63" s="108"/>
      <c r="G63" s="109" t="s">
        <v>412</v>
      </c>
      <c r="H63" s="195"/>
      <c r="I63" s="108"/>
    </row>
    <row r="64" spans="1:9" ht="14.4">
      <c r="A64" s="116"/>
      <c r="B64" s="27"/>
      <c r="C64" s="27"/>
      <c r="D64" s="27"/>
      <c r="E64" s="27"/>
      <c r="F64" s="27"/>
      <c r="G64" s="204"/>
      <c r="H64" s="196"/>
      <c r="I64" s="108"/>
    </row>
    <row r="65" spans="1:9" ht="14.4">
      <c r="A65" s="197">
        <v>1</v>
      </c>
      <c r="B65" s="27"/>
      <c r="C65" s="27"/>
      <c r="D65" s="27"/>
      <c r="E65" s="27"/>
      <c r="F65" s="27"/>
      <c r="G65" s="205" t="s">
        <v>165</v>
      </c>
      <c r="H65" s="199">
        <v>9964.2900000000009</v>
      </c>
      <c r="I65" s="108"/>
    </row>
    <row r="66" spans="1:9" ht="14.4">
      <c r="A66" s="197"/>
      <c r="B66" s="27"/>
      <c r="C66" s="27"/>
      <c r="D66" s="27"/>
      <c r="E66" s="27"/>
      <c r="F66" s="27"/>
      <c r="G66" s="198" t="s">
        <v>414</v>
      </c>
      <c r="H66" s="199">
        <v>3886.07</v>
      </c>
      <c r="I66" s="108"/>
    </row>
    <row r="67" spans="1:9" ht="14.4">
      <c r="A67" s="197"/>
      <c r="B67" s="111"/>
      <c r="C67" s="111"/>
      <c r="D67" s="111"/>
      <c r="E67" s="111"/>
      <c r="F67" s="111"/>
      <c r="G67" s="110" t="s">
        <v>413</v>
      </c>
      <c r="H67" s="199"/>
      <c r="I67" s="108"/>
    </row>
    <row r="68" spans="1:9" ht="14.4">
      <c r="A68" s="197">
        <v>2</v>
      </c>
      <c r="B68" s="206"/>
      <c r="C68" s="206"/>
      <c r="D68" s="206"/>
      <c r="E68" s="206"/>
      <c r="F68" s="206"/>
      <c r="G68" s="110" t="s">
        <v>417</v>
      </c>
      <c r="H68" s="199"/>
      <c r="I68" s="108"/>
    </row>
    <row r="69" spans="1:9" ht="14.4">
      <c r="A69" s="197"/>
      <c r="B69" s="27"/>
      <c r="C69" s="27"/>
      <c r="D69" s="27"/>
      <c r="E69" s="27"/>
      <c r="F69" s="27"/>
      <c r="G69" s="198"/>
      <c r="H69" s="199"/>
      <c r="I69" s="108"/>
    </row>
    <row r="70" spans="1:9" ht="14.4">
      <c r="A70" s="197">
        <v>3</v>
      </c>
      <c r="B70" s="27"/>
      <c r="C70" s="27"/>
      <c r="D70" s="27"/>
      <c r="E70" s="27"/>
      <c r="F70" s="27"/>
      <c r="G70" s="198"/>
      <c r="H70" s="196"/>
      <c r="I70" s="108"/>
    </row>
    <row r="71" spans="1:9" ht="14.4">
      <c r="A71" s="197">
        <v>4</v>
      </c>
      <c r="B71" s="27"/>
      <c r="C71" s="27"/>
      <c r="D71" s="27"/>
      <c r="E71" s="27"/>
      <c r="F71" s="27"/>
      <c r="G71" s="198"/>
      <c r="H71" s="200"/>
      <c r="I71" s="108"/>
    </row>
    <row r="72" spans="1:9" ht="14.4">
      <c r="A72" s="197"/>
      <c r="B72" s="631"/>
      <c r="C72" s="631"/>
      <c r="D72" s="631"/>
      <c r="E72" s="631"/>
      <c r="F72" s="631"/>
      <c r="G72" s="201"/>
      <c r="H72" s="200"/>
      <c r="I72" s="108"/>
    </row>
    <row r="73" spans="1:9" ht="14.4">
      <c r="A73" s="197"/>
      <c r="B73" s="27"/>
      <c r="C73" s="27"/>
      <c r="D73" s="27"/>
      <c r="E73" s="27"/>
      <c r="F73" s="27"/>
      <c r="G73" s="198"/>
      <c r="H73" s="200"/>
      <c r="I73" s="108"/>
    </row>
    <row r="74" spans="1:9" ht="14.4">
      <c r="A74" s="197"/>
      <c r="B74" s="27"/>
      <c r="C74" s="27"/>
      <c r="D74" s="27"/>
      <c r="E74" s="27"/>
      <c r="F74" s="27"/>
      <c r="G74" s="198"/>
      <c r="H74" s="200"/>
      <c r="I74" s="108"/>
    </row>
    <row r="75" spans="1:9" ht="14.4">
      <c r="A75" s="197"/>
      <c r="B75" s="27"/>
      <c r="C75" s="27"/>
      <c r="D75" s="27"/>
      <c r="E75" s="27"/>
      <c r="F75" s="27"/>
      <c r="G75" s="198"/>
      <c r="H75" s="200"/>
      <c r="I75" s="108"/>
    </row>
    <row r="76" spans="1:9" ht="14.4">
      <c r="A76" s="197"/>
      <c r="B76" s="27"/>
      <c r="C76" s="27"/>
      <c r="D76" s="27"/>
      <c r="E76" s="27"/>
      <c r="F76" s="27"/>
      <c r="G76" s="198"/>
      <c r="H76" s="200"/>
      <c r="I76" s="108"/>
    </row>
    <row r="77" spans="1:9" ht="14.4">
      <c r="A77" s="108"/>
      <c r="B77" s="27"/>
      <c r="C77" s="27"/>
      <c r="D77" s="27"/>
      <c r="E77" s="27"/>
      <c r="F77" s="27"/>
      <c r="G77" s="198"/>
      <c r="H77" s="202"/>
      <c r="I77" s="108"/>
    </row>
    <row r="78" spans="1:9" ht="15.6">
      <c r="A78" s="108"/>
      <c r="B78" s="108"/>
      <c r="C78" s="108"/>
      <c r="D78" s="108"/>
      <c r="E78" s="108"/>
      <c r="F78" s="108"/>
      <c r="G78" s="107" t="s">
        <v>273</v>
      </c>
      <c r="H78" s="203">
        <f>SUM(H63:H77)</f>
        <v>13850.36</v>
      </c>
      <c r="I78" s="108"/>
    </row>
    <row r="79" spans="1:9" ht="14.4">
      <c r="A79" s="108"/>
      <c r="B79" s="108"/>
      <c r="C79" s="108"/>
      <c r="D79" s="108"/>
      <c r="E79" s="108"/>
      <c r="F79" s="108"/>
      <c r="G79" s="106"/>
      <c r="H79" s="106"/>
      <c r="I79" s="108"/>
    </row>
    <row r="80" spans="1:9" ht="14.4">
      <c r="A80" s="108"/>
      <c r="B80" s="108"/>
      <c r="C80" s="108"/>
      <c r="D80" s="108"/>
      <c r="E80" s="108"/>
      <c r="F80" s="108"/>
      <c r="G80" s="106"/>
      <c r="H80" s="106"/>
      <c r="I80" s="108"/>
    </row>
    <row r="81" spans="1:9" ht="14.4">
      <c r="A81" s="108"/>
      <c r="B81" s="108"/>
      <c r="C81" s="108"/>
      <c r="D81" s="108"/>
      <c r="E81" s="108"/>
      <c r="F81" s="108"/>
      <c r="G81" s="106"/>
      <c r="H81" s="106"/>
      <c r="I81" s="108"/>
    </row>
    <row r="82" spans="1:9" ht="14.4">
      <c r="A82" s="108"/>
      <c r="B82" s="108"/>
      <c r="C82" s="108"/>
      <c r="D82" s="108"/>
      <c r="E82" s="108"/>
      <c r="F82" s="108"/>
      <c r="G82" s="112"/>
      <c r="H82" s="106" t="s">
        <v>248</v>
      </c>
      <c r="I82" s="108"/>
    </row>
    <row r="83" spans="1:9" ht="14.4">
      <c r="A83" s="108"/>
      <c r="B83" s="108"/>
      <c r="C83" s="108"/>
      <c r="D83" s="108"/>
      <c r="E83" s="108"/>
      <c r="F83" s="108"/>
      <c r="G83" s="113"/>
      <c r="H83" s="106"/>
      <c r="I83" s="108"/>
    </row>
    <row r="84" spans="1:9" ht="14.4">
      <c r="A84" s="108"/>
      <c r="B84" s="108"/>
      <c r="C84" s="108"/>
      <c r="D84" s="108"/>
      <c r="E84" s="108"/>
      <c r="F84" s="108"/>
      <c r="G84" s="106"/>
      <c r="H84" s="106"/>
      <c r="I84" s="108"/>
    </row>
    <row r="85" spans="1:9" ht="13.8">
      <c r="A85" s="108"/>
      <c r="B85" s="108"/>
      <c r="C85" s="108"/>
      <c r="D85" s="108"/>
      <c r="E85" s="108"/>
      <c r="F85" s="108"/>
      <c r="G85" s="108"/>
      <c r="H85" s="112" t="s">
        <v>173</v>
      </c>
      <c r="I85" s="108"/>
    </row>
    <row r="86" spans="1:9">
      <c r="A86" s="108"/>
      <c r="B86" s="108"/>
      <c r="C86" s="108"/>
      <c r="D86" s="108"/>
      <c r="E86" s="108"/>
      <c r="F86" s="108"/>
      <c r="G86" s="108"/>
      <c r="H86" s="113" t="s">
        <v>408</v>
      </c>
      <c r="I86" s="108"/>
    </row>
    <row r="90" spans="1:9">
      <c r="A90" s="50"/>
      <c r="B90" s="50"/>
      <c r="C90" s="50"/>
      <c r="D90" s="50"/>
      <c r="E90" s="50"/>
      <c r="F90" s="50"/>
      <c r="G90" s="50"/>
      <c r="H90" s="50"/>
      <c r="I90" s="50"/>
    </row>
    <row r="91" spans="1:9">
      <c r="A91" s="50"/>
      <c r="B91" s="50"/>
      <c r="C91" s="50"/>
      <c r="D91" s="50"/>
      <c r="E91" s="50"/>
      <c r="F91" s="50"/>
      <c r="G91" s="50"/>
      <c r="H91" s="50"/>
      <c r="I91" s="50"/>
    </row>
    <row r="92" spans="1:9">
      <c r="A92" s="50"/>
      <c r="B92" s="50"/>
      <c r="C92" s="50"/>
      <c r="D92" s="50"/>
      <c r="E92" s="50"/>
      <c r="F92" s="50"/>
      <c r="G92" s="50"/>
      <c r="H92" s="50"/>
      <c r="I92" s="50"/>
    </row>
    <row r="93" spans="1:9">
      <c r="A93" s="50"/>
      <c r="B93" s="50"/>
      <c r="C93" s="50"/>
      <c r="D93" s="50"/>
      <c r="E93" s="50"/>
      <c r="F93" s="50"/>
      <c r="G93" s="50"/>
      <c r="H93" s="50"/>
      <c r="I93" s="50"/>
    </row>
    <row r="94" spans="1:9">
      <c r="A94" s="50"/>
      <c r="B94" s="50"/>
      <c r="C94" s="50"/>
      <c r="D94" s="50"/>
      <c r="E94" s="50"/>
      <c r="F94" s="50"/>
      <c r="G94" s="50"/>
      <c r="H94" s="50"/>
      <c r="I94" s="50"/>
    </row>
    <row r="103" spans="7:10" ht="14.4">
      <c r="G103" s="1146"/>
      <c r="H103" s="1146"/>
      <c r="I103" s="1146"/>
      <c r="J103" s="108"/>
    </row>
    <row r="104" spans="7:10" ht="14.4">
      <c r="G104" s="1146"/>
      <c r="H104" s="1146"/>
      <c r="I104" s="1146"/>
      <c r="J104" s="108"/>
    </row>
    <row r="105" spans="7:10" ht="14.4">
      <c r="G105" s="108"/>
      <c r="H105" s="106"/>
      <c r="I105" s="106"/>
      <c r="J105" s="108"/>
    </row>
    <row r="106" spans="7:10" ht="14.4">
      <c r="G106" s="1146"/>
      <c r="H106" s="1146"/>
      <c r="I106" s="1146"/>
      <c r="J106" s="108"/>
    </row>
    <row r="107" spans="7:10" ht="14.4">
      <c r="G107" s="1146"/>
      <c r="H107" s="1146"/>
      <c r="I107" s="1146"/>
      <c r="J107" s="108"/>
    </row>
    <row r="108" spans="7:10" ht="14.4">
      <c r="G108" s="1150"/>
      <c r="H108" s="1150"/>
      <c r="I108" s="1150"/>
      <c r="J108" s="108"/>
    </row>
    <row r="109" spans="7:10" ht="14.4">
      <c r="G109" s="1150"/>
      <c r="H109" s="1150"/>
      <c r="I109" s="1150"/>
      <c r="J109" s="1150"/>
    </row>
    <row r="110" spans="7:10" ht="14.4">
      <c r="G110" s="108"/>
      <c r="H110" s="106"/>
      <c r="I110" s="106"/>
      <c r="J110" s="108"/>
    </row>
    <row r="111" spans="7:10" ht="14.4">
      <c r="G111" s="106"/>
      <c r="H111" s="106"/>
      <c r="I111" s="194"/>
      <c r="J111" s="108"/>
    </row>
    <row r="112" spans="7:10" ht="14.4">
      <c r="G112" s="108"/>
      <c r="H112" s="105"/>
      <c r="I112" s="194"/>
      <c r="J112" s="108"/>
    </row>
    <row r="113" spans="7:10" ht="14.4">
      <c r="G113" s="108"/>
      <c r="H113" s="108"/>
      <c r="I113" s="195"/>
      <c r="J113" s="108"/>
    </row>
    <row r="114" spans="7:10" ht="14.4">
      <c r="G114" s="116"/>
      <c r="H114" s="114"/>
      <c r="I114" s="207"/>
      <c r="J114" s="108"/>
    </row>
    <row r="115" spans="7:10" ht="14.4">
      <c r="G115" s="114"/>
      <c r="H115" s="114"/>
      <c r="I115" s="195"/>
      <c r="J115" s="108"/>
    </row>
    <row r="116" spans="7:10" ht="14.4">
      <c r="G116" s="197"/>
      <c r="H116" s="109"/>
      <c r="I116" s="195"/>
      <c r="J116" s="108"/>
    </row>
    <row r="117" spans="7:10" ht="14.4">
      <c r="G117" s="197"/>
      <c r="H117" s="108"/>
      <c r="I117" s="195"/>
      <c r="J117" s="108"/>
    </row>
    <row r="118" spans="7:10" ht="14.4">
      <c r="G118" s="197"/>
      <c r="H118" s="109"/>
      <c r="I118" s="195"/>
      <c r="J118" s="108"/>
    </row>
    <row r="119" spans="7:10" ht="14.4">
      <c r="G119" s="197"/>
      <c r="H119" s="109"/>
      <c r="I119" s="195"/>
      <c r="J119" s="108"/>
    </row>
    <row r="120" spans="7:10" ht="14.4">
      <c r="G120" s="197"/>
      <c r="H120" s="208"/>
      <c r="I120" s="207"/>
      <c r="J120" s="108"/>
    </row>
    <row r="121" spans="7:10" ht="14.4">
      <c r="G121" s="197"/>
      <c r="H121" s="108"/>
      <c r="I121" s="209"/>
      <c r="J121" s="108"/>
    </row>
    <row r="122" spans="7:10" ht="14.4">
      <c r="G122" s="197"/>
      <c r="H122" s="109"/>
      <c r="I122" s="209"/>
      <c r="J122" s="108"/>
    </row>
    <row r="123" spans="7:10" ht="14.4">
      <c r="G123" s="197"/>
      <c r="H123" s="109"/>
      <c r="I123" s="209"/>
      <c r="J123" s="108"/>
    </row>
    <row r="124" spans="7:10" ht="14.4">
      <c r="G124" s="197"/>
      <c r="H124" s="108"/>
      <c r="I124" s="209"/>
      <c r="J124" s="108"/>
    </row>
    <row r="125" spans="7:10" ht="14.4">
      <c r="G125" s="197"/>
      <c r="H125" s="109"/>
      <c r="I125" s="209"/>
      <c r="J125" s="108"/>
    </row>
    <row r="126" spans="7:10" ht="14.4">
      <c r="G126" s="197"/>
      <c r="H126" s="108"/>
      <c r="I126" s="209"/>
      <c r="J126" s="108"/>
    </row>
    <row r="127" spans="7:10" ht="14.4">
      <c r="G127" s="108"/>
      <c r="H127" s="108"/>
      <c r="I127" s="210"/>
      <c r="J127" s="108"/>
    </row>
    <row r="128" spans="7:10" ht="14.4">
      <c r="G128" s="108"/>
      <c r="H128" s="107"/>
      <c r="I128" s="195"/>
      <c r="J128" s="108"/>
    </row>
    <row r="129" spans="7:10" ht="14.4">
      <c r="G129" s="108"/>
      <c r="H129" s="106"/>
      <c r="I129" s="106"/>
      <c r="J129" s="108"/>
    </row>
    <row r="130" spans="7:10" ht="14.4">
      <c r="G130" s="108"/>
      <c r="H130" s="106"/>
      <c r="I130" s="106"/>
      <c r="J130" s="108"/>
    </row>
    <row r="131" spans="7:10" ht="14.4">
      <c r="G131" s="108"/>
      <c r="H131" s="106"/>
      <c r="I131" s="106"/>
      <c r="J131" s="108"/>
    </row>
    <row r="132" spans="7:10" ht="14.4">
      <c r="G132" s="108"/>
      <c r="H132" s="112"/>
      <c r="I132" s="106"/>
      <c r="J132" s="108"/>
    </row>
    <row r="133" spans="7:10" ht="14.4">
      <c r="G133" s="108"/>
      <c r="H133" s="113"/>
      <c r="I133" s="106"/>
      <c r="J133" s="108"/>
    </row>
    <row r="134" spans="7:10" ht="14.4">
      <c r="G134" s="108"/>
      <c r="H134" s="106"/>
      <c r="I134" s="106"/>
      <c r="J134" s="108"/>
    </row>
    <row r="135" spans="7:10" ht="13.8">
      <c r="G135" s="108"/>
      <c r="H135" s="108"/>
      <c r="I135" s="112"/>
      <c r="J135" s="108"/>
    </row>
    <row r="136" spans="7:10">
      <c r="G136" s="108"/>
      <c r="H136" s="108"/>
      <c r="I136" s="113"/>
      <c r="J136" s="108"/>
    </row>
  </sheetData>
  <mergeCells count="18">
    <mergeCell ref="G107:I107"/>
    <mergeCell ref="G108:I108"/>
    <mergeCell ref="G109:J109"/>
    <mergeCell ref="G58:H58"/>
    <mergeCell ref="A59:I59"/>
    <mergeCell ref="G103:I103"/>
    <mergeCell ref="G104:I104"/>
    <mergeCell ref="G106:I106"/>
    <mergeCell ref="A11:I11"/>
    <mergeCell ref="G52:H52"/>
    <mergeCell ref="G53:H53"/>
    <mergeCell ref="G54:H54"/>
    <mergeCell ref="G56:H56"/>
    <mergeCell ref="G4:H4"/>
    <mergeCell ref="C5:H5"/>
    <mergeCell ref="C6:H6"/>
    <mergeCell ref="C7:H7"/>
    <mergeCell ref="C10:H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U203"/>
  <sheetViews>
    <sheetView topLeftCell="C76" zoomScale="80" zoomScaleNormal="80" workbookViewId="0">
      <selection activeCell="F96" sqref="F96"/>
    </sheetView>
  </sheetViews>
  <sheetFormatPr defaultColWidth="9.33203125" defaultRowHeight="13.2"/>
  <cols>
    <col min="1" max="1" width="5.109375" style="119" customWidth="1"/>
    <col min="2" max="2" width="17.33203125" style="119" customWidth="1"/>
    <col min="3" max="3" width="19.109375" style="119" customWidth="1"/>
    <col min="4" max="4" width="19.33203125" style="119" customWidth="1"/>
    <col min="5" max="5" width="8.77734375" style="119" customWidth="1"/>
    <col min="6" max="6" width="17.33203125" style="119" customWidth="1"/>
    <col min="7" max="7" width="13.44140625" style="119" customWidth="1"/>
    <col min="8" max="8" width="16.33203125" style="119" customWidth="1"/>
    <col min="9" max="9" width="16.44140625" style="119" customWidth="1"/>
    <col min="10" max="10" width="14.33203125" style="119" customWidth="1"/>
    <col min="11" max="11" width="14.44140625" style="119" customWidth="1"/>
    <col min="12" max="12" width="14.6640625" style="119" customWidth="1"/>
    <col min="13" max="13" width="14.44140625" style="119" customWidth="1"/>
    <col min="14" max="14" width="16.44140625" style="119" customWidth="1"/>
    <col min="15" max="15" width="16" style="119" customWidth="1"/>
    <col min="16" max="16" width="15.44140625" style="119" customWidth="1"/>
    <col min="17" max="17" width="14.33203125" style="119" customWidth="1"/>
    <col min="18" max="18" width="14.44140625" style="119" customWidth="1"/>
    <col min="19" max="19" width="17.6640625" style="119" customWidth="1"/>
    <col min="20" max="20" width="9.33203125" style="119"/>
    <col min="21" max="21" width="12.77734375" style="119" customWidth="1"/>
    <col min="22" max="16384" width="9.33203125" style="119"/>
  </cols>
  <sheetData>
    <row r="4" spans="1:21" s="117" customFormat="1" ht="15.6">
      <c r="A4" s="1153"/>
      <c r="B4" s="1159"/>
      <c r="C4" s="1159"/>
      <c r="D4" s="1159"/>
      <c r="E4" s="1159"/>
      <c r="F4" s="1159"/>
      <c r="G4" s="1159"/>
      <c r="H4" s="1159"/>
      <c r="I4" s="1159"/>
      <c r="J4" s="1159"/>
      <c r="K4" s="1159"/>
      <c r="L4" s="1159"/>
      <c r="M4" s="1159"/>
      <c r="N4" s="1159"/>
      <c r="O4" s="1159"/>
      <c r="P4" s="1159"/>
      <c r="Q4" s="1159"/>
      <c r="R4" s="1159"/>
      <c r="S4" s="1159"/>
    </row>
    <row r="5" spans="1:21" s="117" customFormat="1" ht="15.6">
      <c r="A5" s="1155"/>
      <c r="B5" s="1154"/>
      <c r="C5" s="1154"/>
      <c r="D5" s="1154"/>
      <c r="E5" s="1154"/>
      <c r="F5" s="1154"/>
      <c r="G5" s="1154"/>
      <c r="H5" s="1154"/>
      <c r="I5" s="1154"/>
      <c r="J5" s="1154"/>
      <c r="K5" s="1154"/>
      <c r="L5" s="1154"/>
      <c r="M5" s="1154"/>
      <c r="N5" s="1154"/>
      <c r="O5" s="1154"/>
      <c r="P5" s="1154"/>
      <c r="Q5" s="1154"/>
      <c r="R5" s="1154"/>
      <c r="S5" s="1154"/>
    </row>
    <row r="6" spans="1:21" s="117" customFormat="1" ht="15.6">
      <c r="A6" s="1155" t="s">
        <v>342</v>
      </c>
      <c r="B6" s="1154"/>
      <c r="C6" s="1154"/>
      <c r="D6" s="1154"/>
      <c r="E6" s="1154"/>
      <c r="F6" s="1154"/>
      <c r="G6" s="1154"/>
      <c r="H6" s="1154"/>
      <c r="I6" s="1154"/>
      <c r="J6" s="1154"/>
      <c r="K6" s="1154"/>
      <c r="L6" s="1154"/>
      <c r="M6" s="1154"/>
      <c r="N6" s="1154"/>
      <c r="O6" s="1154"/>
      <c r="P6" s="1154"/>
      <c r="Q6" s="1154"/>
      <c r="R6" s="1154"/>
      <c r="S6" s="1154"/>
    </row>
    <row r="7" spans="1:21" s="117" customFormat="1" ht="15.6">
      <c r="A7" s="120"/>
      <c r="B7" s="120"/>
      <c r="C7" s="120"/>
      <c r="D7" s="120"/>
      <c r="E7" s="120"/>
      <c r="F7" s="120"/>
      <c r="G7" s="120"/>
      <c r="H7" s="120"/>
      <c r="I7" s="120"/>
      <c r="J7" s="120"/>
      <c r="K7" s="120"/>
      <c r="L7" s="120"/>
      <c r="M7" s="120"/>
      <c r="N7" s="120"/>
      <c r="O7" s="120"/>
      <c r="P7" s="120"/>
      <c r="Q7" s="120"/>
      <c r="R7" s="120"/>
      <c r="S7" s="120"/>
    </row>
    <row r="8" spans="1:21" s="117" customFormat="1" ht="15.6">
      <c r="A8" s="120"/>
      <c r="B8" s="120"/>
      <c r="C8" s="120"/>
      <c r="D8" s="120"/>
      <c r="E8" s="120"/>
      <c r="F8" s="120"/>
      <c r="G8" s="120"/>
      <c r="H8" s="1153" t="s">
        <v>632</v>
      </c>
      <c r="I8" s="1153"/>
      <c r="J8" s="1153"/>
      <c r="K8" s="1153"/>
      <c r="L8" s="1153"/>
      <c r="M8" s="120"/>
      <c r="N8" s="120"/>
      <c r="O8" s="120"/>
      <c r="P8" s="120"/>
      <c r="Q8" s="120"/>
      <c r="R8" s="120"/>
      <c r="S8" s="120"/>
    </row>
    <row r="9" spans="1:21" s="117" customFormat="1" ht="15.6">
      <c r="A9" s="120"/>
      <c r="B9" s="120"/>
      <c r="C9" s="120"/>
      <c r="D9" s="120"/>
      <c r="E9" s="120"/>
      <c r="F9" s="120"/>
      <c r="G9" s="120"/>
      <c r="H9" s="1154" t="s">
        <v>710</v>
      </c>
      <c r="I9" s="1155"/>
      <c r="J9" s="1155"/>
      <c r="K9" s="1155"/>
      <c r="L9" s="1155"/>
      <c r="M9" s="120"/>
      <c r="N9" s="120"/>
      <c r="O9" s="120"/>
      <c r="P9" s="120"/>
      <c r="Q9" s="120"/>
      <c r="R9" s="120"/>
      <c r="S9" s="120"/>
    </row>
    <row r="10" spans="1:21" s="117" customFormat="1" ht="15.6">
      <c r="A10" s="120"/>
      <c r="B10" s="120"/>
      <c r="C10" s="120"/>
      <c r="D10" s="120"/>
      <c r="E10" s="121"/>
      <c r="F10" s="121"/>
      <c r="G10" s="121"/>
      <c r="H10" s="121"/>
      <c r="I10" s="121"/>
      <c r="J10" s="121"/>
      <c r="K10" s="121"/>
      <c r="L10" s="121"/>
      <c r="M10" s="121"/>
      <c r="N10" s="121"/>
      <c r="O10" s="121"/>
      <c r="P10" s="121"/>
      <c r="Q10" s="121"/>
      <c r="R10" s="121"/>
      <c r="S10" s="121" t="s">
        <v>22</v>
      </c>
    </row>
    <row r="11" spans="1:21" s="117" customFormat="1" ht="12.75" customHeight="1">
      <c r="A11" s="1160" t="s">
        <v>633</v>
      </c>
      <c r="B11" s="660"/>
      <c r="C11" s="1179" t="s">
        <v>344</v>
      </c>
      <c r="D11" s="1179" t="s">
        <v>345</v>
      </c>
      <c r="E11" s="1162" t="s">
        <v>628</v>
      </c>
      <c r="F11" s="1169"/>
      <c r="G11" s="1169"/>
      <c r="H11" s="1169"/>
      <c r="I11" s="1166" t="s">
        <v>419</v>
      </c>
      <c r="J11" s="1166" t="s">
        <v>420</v>
      </c>
      <c r="K11" s="1169" t="s">
        <v>421</v>
      </c>
      <c r="L11" s="661"/>
      <c r="M11" s="661"/>
      <c r="N11" s="1169" t="s">
        <v>422</v>
      </c>
      <c r="O11" s="1169" t="s">
        <v>423</v>
      </c>
      <c r="P11" s="1169" t="s">
        <v>424</v>
      </c>
      <c r="Q11" s="1169" t="s">
        <v>425</v>
      </c>
      <c r="R11" s="662"/>
      <c r="S11" s="1169" t="s">
        <v>426</v>
      </c>
    </row>
    <row r="12" spans="1:21" s="117" customFormat="1" ht="27.6">
      <c r="A12" s="1161"/>
      <c r="B12" s="637" t="s">
        <v>538</v>
      </c>
      <c r="C12" s="1177"/>
      <c r="D12" s="1177"/>
      <c r="E12" s="1163"/>
      <c r="F12" s="1170"/>
      <c r="G12" s="1170"/>
      <c r="H12" s="1170"/>
      <c r="I12" s="1167"/>
      <c r="J12" s="1168"/>
      <c r="K12" s="1170"/>
      <c r="L12" s="141" t="s">
        <v>127</v>
      </c>
      <c r="M12" s="141" t="s">
        <v>128</v>
      </c>
      <c r="N12" s="1165"/>
      <c r="O12" s="1165"/>
      <c r="P12" s="1170"/>
      <c r="Q12" s="1170"/>
      <c r="R12" s="122" t="s">
        <v>129</v>
      </c>
      <c r="S12" s="1165"/>
    </row>
    <row r="13" spans="1:21" s="117" customFormat="1" ht="15.75" customHeight="1">
      <c r="A13" s="1161"/>
      <c r="B13" s="122"/>
      <c r="C13" s="1177"/>
      <c r="D13" s="1177"/>
      <c r="E13" s="1164"/>
      <c r="F13" s="1165" t="s">
        <v>427</v>
      </c>
      <c r="G13" s="663" t="s">
        <v>428</v>
      </c>
      <c r="H13" s="1165" t="s">
        <v>126</v>
      </c>
      <c r="I13" s="1167"/>
      <c r="J13" s="1168"/>
      <c r="K13" s="1170"/>
      <c r="L13" s="141" t="s">
        <v>429</v>
      </c>
      <c r="M13" s="141" t="s">
        <v>137</v>
      </c>
      <c r="N13" s="1165"/>
      <c r="O13" s="1165"/>
      <c r="P13" s="1170"/>
      <c r="Q13" s="1170"/>
      <c r="R13" s="663" t="s">
        <v>137</v>
      </c>
      <c r="S13" s="1165"/>
    </row>
    <row r="14" spans="1:21" s="117" customFormat="1" ht="15.6">
      <c r="A14" s="1161"/>
      <c r="B14" s="649"/>
      <c r="C14" s="1178"/>
      <c r="D14" s="1178"/>
      <c r="E14" s="1164"/>
      <c r="F14" s="1165"/>
      <c r="G14" s="663" t="s">
        <v>126</v>
      </c>
      <c r="H14" s="1165"/>
      <c r="I14" s="664"/>
      <c r="J14" s="1168"/>
      <c r="K14" s="1170"/>
      <c r="L14" s="142"/>
      <c r="M14" s="142"/>
      <c r="N14" s="1165"/>
      <c r="O14" s="1165"/>
      <c r="P14" s="1170"/>
      <c r="Q14" s="1170"/>
      <c r="R14" s="663"/>
      <c r="S14" s="1165"/>
    </row>
    <row r="15" spans="1:21" s="117" customFormat="1" ht="15.6">
      <c r="A15" s="123">
        <v>1</v>
      </c>
      <c r="B15" s="640" t="s">
        <v>347</v>
      </c>
      <c r="C15" s="642" t="s">
        <v>275</v>
      </c>
      <c r="D15" s="641" t="s">
        <v>348</v>
      </c>
      <c r="E15" s="635"/>
      <c r="F15" s="125">
        <v>1007.68</v>
      </c>
      <c r="G15" s="125"/>
      <c r="H15" s="126">
        <v>25000</v>
      </c>
      <c r="I15" s="126"/>
      <c r="J15" s="127"/>
      <c r="K15" s="650">
        <v>100</v>
      </c>
      <c r="L15" s="143"/>
      <c r="M15" s="143"/>
      <c r="N15" s="144">
        <v>300</v>
      </c>
      <c r="O15" s="126"/>
      <c r="P15" s="126"/>
      <c r="Q15" s="127"/>
      <c r="R15" s="126"/>
      <c r="S15" s="143">
        <f t="shared" ref="S15:S29" si="0">F15+H15+I15+J15+K15+L15+M15+N15+O15+P15+Q15+R15</f>
        <v>26407.68</v>
      </c>
      <c r="U15" s="152"/>
    </row>
    <row r="16" spans="1:21" s="117" customFormat="1" ht="15.6">
      <c r="A16" s="123">
        <v>2</v>
      </c>
      <c r="B16" s="640" t="s">
        <v>276</v>
      </c>
      <c r="C16" s="642" t="s">
        <v>277</v>
      </c>
      <c r="D16" s="641" t="s">
        <v>548</v>
      </c>
      <c r="E16" s="635"/>
      <c r="F16" s="125">
        <v>401.11</v>
      </c>
      <c r="G16" s="125"/>
      <c r="H16" s="128"/>
      <c r="I16" s="126"/>
      <c r="J16" s="126"/>
      <c r="K16" s="128"/>
      <c r="L16" s="128"/>
      <c r="M16" s="128"/>
      <c r="N16" s="144">
        <v>300</v>
      </c>
      <c r="O16" s="145"/>
      <c r="P16" s="127"/>
      <c r="Q16" s="127"/>
      <c r="R16" s="126"/>
      <c r="S16" s="143">
        <f t="shared" si="0"/>
        <v>701.11</v>
      </c>
      <c r="U16" s="152"/>
    </row>
    <row r="17" spans="1:21" s="117" customFormat="1" ht="15.6">
      <c r="A17" s="123">
        <v>3</v>
      </c>
      <c r="B17" s="640" t="s">
        <v>278</v>
      </c>
      <c r="C17" s="642" t="s">
        <v>279</v>
      </c>
      <c r="D17" s="641" t="s">
        <v>351</v>
      </c>
      <c r="E17" s="635"/>
      <c r="F17" s="125">
        <v>406.25</v>
      </c>
      <c r="G17" s="125"/>
      <c r="H17" s="128"/>
      <c r="I17" s="126"/>
      <c r="J17" s="126"/>
      <c r="K17" s="143"/>
      <c r="L17" s="143"/>
      <c r="M17" s="143"/>
      <c r="N17" s="144">
        <v>300</v>
      </c>
      <c r="O17" s="128">
        <v>2425</v>
      </c>
      <c r="P17" s="127"/>
      <c r="Q17" s="126"/>
      <c r="R17" s="126"/>
      <c r="S17" s="143">
        <f t="shared" si="0"/>
        <v>3131.25</v>
      </c>
      <c r="U17" s="152"/>
    </row>
    <row r="18" spans="1:21" s="117" customFormat="1" ht="15.6">
      <c r="A18" s="123">
        <v>4</v>
      </c>
      <c r="B18" s="640" t="s">
        <v>280</v>
      </c>
      <c r="C18" s="642" t="s">
        <v>281</v>
      </c>
      <c r="D18" s="641" t="s">
        <v>353</v>
      </c>
      <c r="E18" s="635"/>
      <c r="F18" s="125">
        <v>401.36</v>
      </c>
      <c r="G18" s="125"/>
      <c r="H18" s="128">
        <v>500</v>
      </c>
      <c r="I18" s="126"/>
      <c r="J18" s="126"/>
      <c r="K18" s="128"/>
      <c r="L18" s="128"/>
      <c r="M18" s="128"/>
      <c r="N18" s="144">
        <v>300</v>
      </c>
      <c r="O18" s="126"/>
      <c r="P18" s="126"/>
      <c r="Q18" s="126">
        <v>100</v>
      </c>
      <c r="R18" s="146"/>
      <c r="S18" s="143">
        <f t="shared" si="0"/>
        <v>1301.3600000000001</v>
      </c>
      <c r="U18" s="152"/>
    </row>
    <row r="19" spans="1:21" s="117" customFormat="1" ht="15.6">
      <c r="A19" s="123">
        <v>5</v>
      </c>
      <c r="B19" s="640" t="s">
        <v>282</v>
      </c>
      <c r="C19" s="642" t="s">
        <v>283</v>
      </c>
      <c r="D19" s="641" t="s">
        <v>326</v>
      </c>
      <c r="E19" s="635"/>
      <c r="F19" s="125">
        <v>401.19</v>
      </c>
      <c r="G19" s="125"/>
      <c r="H19" s="128"/>
      <c r="I19" s="126"/>
      <c r="J19" s="126"/>
      <c r="K19" s="128">
        <v>340</v>
      </c>
      <c r="L19" s="128">
        <v>417</v>
      </c>
      <c r="M19" s="128">
        <v>1413</v>
      </c>
      <c r="N19" s="144">
        <v>300</v>
      </c>
      <c r="O19" s="126"/>
      <c r="P19" s="126"/>
      <c r="Q19" s="126">
        <v>100</v>
      </c>
      <c r="R19" s="146"/>
      <c r="S19" s="143">
        <f t="shared" si="0"/>
        <v>2971.19</v>
      </c>
    </row>
    <row r="20" spans="1:21" s="117" customFormat="1" ht="15.6">
      <c r="A20" s="123">
        <v>6</v>
      </c>
      <c r="B20" s="640" t="s">
        <v>285</v>
      </c>
      <c r="C20" s="642" t="s">
        <v>286</v>
      </c>
      <c r="D20" s="641" t="s">
        <v>356</v>
      </c>
      <c r="E20" s="635"/>
      <c r="F20" s="125">
        <v>400.45</v>
      </c>
      <c r="G20" s="125"/>
      <c r="H20" s="128"/>
      <c r="I20" s="126">
        <v>5200</v>
      </c>
      <c r="J20" s="126"/>
      <c r="K20" s="128"/>
      <c r="L20" s="128">
        <v>756.5</v>
      </c>
      <c r="M20" s="128"/>
      <c r="N20" s="144">
        <v>300</v>
      </c>
      <c r="O20" s="126"/>
      <c r="P20" s="127"/>
      <c r="Q20" s="126">
        <v>100</v>
      </c>
      <c r="R20" s="146"/>
      <c r="S20" s="143">
        <f t="shared" si="0"/>
        <v>6756.95</v>
      </c>
    </row>
    <row r="21" spans="1:21" s="117" customFormat="1" ht="15.6">
      <c r="A21" s="123">
        <v>7</v>
      </c>
      <c r="B21" s="640" t="s">
        <v>287</v>
      </c>
      <c r="C21" s="642" t="s">
        <v>288</v>
      </c>
      <c r="D21" s="641" t="s">
        <v>358</v>
      </c>
      <c r="E21" s="635"/>
      <c r="F21" s="125">
        <v>407.41</v>
      </c>
      <c r="G21" s="125"/>
      <c r="H21" s="128"/>
      <c r="I21" s="126"/>
      <c r="J21" s="126"/>
      <c r="K21" s="128"/>
      <c r="L21" s="128"/>
      <c r="M21" s="128"/>
      <c r="N21" s="144">
        <v>300</v>
      </c>
      <c r="O21" s="126"/>
      <c r="P21" s="127"/>
      <c r="Q21" s="126"/>
      <c r="R21" s="146"/>
      <c r="S21" s="143">
        <f t="shared" si="0"/>
        <v>707.41000000000008</v>
      </c>
    </row>
    <row r="22" spans="1:21" s="117" customFormat="1" ht="15.6">
      <c r="A22" s="123">
        <v>8</v>
      </c>
      <c r="B22" s="640" t="s">
        <v>289</v>
      </c>
      <c r="C22" s="642" t="s">
        <v>290</v>
      </c>
      <c r="D22" s="641" t="s">
        <v>360</v>
      </c>
      <c r="E22" s="635"/>
      <c r="F22" s="125">
        <v>402.77</v>
      </c>
      <c r="G22" s="125"/>
      <c r="H22" s="128"/>
      <c r="I22" s="126"/>
      <c r="J22" s="126"/>
      <c r="K22" s="128"/>
      <c r="L22" s="128"/>
      <c r="M22" s="128"/>
      <c r="N22" s="144">
        <v>300</v>
      </c>
      <c r="O22" s="126"/>
      <c r="P22" s="127"/>
      <c r="Q22" s="126"/>
      <c r="R22" s="146"/>
      <c r="S22" s="143">
        <f t="shared" si="0"/>
        <v>702.77</v>
      </c>
    </row>
    <row r="23" spans="1:21" s="117" customFormat="1" ht="15.6">
      <c r="A23" s="123">
        <v>9</v>
      </c>
      <c r="B23" s="640" t="s">
        <v>535</v>
      </c>
      <c r="C23" s="642" t="s">
        <v>291</v>
      </c>
      <c r="D23" s="641" t="s">
        <v>362</v>
      </c>
      <c r="E23" s="651" t="s">
        <v>549</v>
      </c>
      <c r="F23" s="125">
        <v>401.52</v>
      </c>
      <c r="G23" s="125"/>
      <c r="H23" s="128"/>
      <c r="I23" s="126">
        <v>5354</v>
      </c>
      <c r="J23" s="126"/>
      <c r="K23" s="128"/>
      <c r="L23" s="128"/>
      <c r="M23" s="128"/>
      <c r="N23" s="144">
        <v>300</v>
      </c>
      <c r="O23" s="126"/>
      <c r="P23" s="127"/>
      <c r="Q23" s="126">
        <v>98</v>
      </c>
      <c r="R23" s="146"/>
      <c r="S23" s="143">
        <f t="shared" si="0"/>
        <v>6153.52</v>
      </c>
      <c r="T23" s="152"/>
    </row>
    <row r="24" spans="1:21" s="117" customFormat="1" ht="15.6">
      <c r="A24" s="123">
        <v>10</v>
      </c>
      <c r="B24" s="640" t="s">
        <v>292</v>
      </c>
      <c r="C24" s="642" t="s">
        <v>293</v>
      </c>
      <c r="D24" s="641" t="s">
        <v>364</v>
      </c>
      <c r="E24" s="635"/>
      <c r="F24" s="125">
        <v>404.22</v>
      </c>
      <c r="G24" s="125"/>
      <c r="H24" s="128"/>
      <c r="I24" s="126"/>
      <c r="J24" s="126"/>
      <c r="K24" s="128"/>
      <c r="L24" s="128"/>
      <c r="M24" s="128"/>
      <c r="N24" s="144">
        <v>300</v>
      </c>
      <c r="O24" s="126"/>
      <c r="P24" s="127"/>
      <c r="Q24" s="126">
        <v>100</v>
      </c>
      <c r="R24" s="146"/>
      <c r="S24" s="143">
        <f t="shared" si="0"/>
        <v>804.22</v>
      </c>
      <c r="T24" s="152"/>
    </row>
    <row r="25" spans="1:21" s="117" customFormat="1" ht="15.6">
      <c r="A25" s="123">
        <v>11</v>
      </c>
      <c r="B25" s="640" t="s">
        <v>294</v>
      </c>
      <c r="C25" s="642" t="s">
        <v>295</v>
      </c>
      <c r="D25" s="641" t="s">
        <v>366</v>
      </c>
      <c r="E25" s="635"/>
      <c r="F25" s="125">
        <v>400.84</v>
      </c>
      <c r="G25" s="125"/>
      <c r="H25" s="128"/>
      <c r="I25" s="126"/>
      <c r="J25" s="126"/>
      <c r="K25" s="128"/>
      <c r="L25" s="128"/>
      <c r="M25" s="128"/>
      <c r="N25" s="144">
        <v>300</v>
      </c>
      <c r="O25" s="126"/>
      <c r="P25" s="127"/>
      <c r="Q25" s="126">
        <v>100</v>
      </c>
      <c r="R25" s="146"/>
      <c r="S25" s="143">
        <f t="shared" si="0"/>
        <v>800.83999999999992</v>
      </c>
      <c r="T25" s="152"/>
    </row>
    <row r="26" spans="1:21" s="117" customFormat="1" ht="15.6">
      <c r="A26" s="123">
        <v>12</v>
      </c>
      <c r="B26" s="640" t="s">
        <v>296</v>
      </c>
      <c r="C26" s="642" t="s">
        <v>297</v>
      </c>
      <c r="D26" s="641" t="s">
        <v>550</v>
      </c>
      <c r="E26" s="635"/>
      <c r="F26" s="655">
        <v>503.27</v>
      </c>
      <c r="G26" s="125"/>
      <c r="H26" s="128">
        <v>500</v>
      </c>
      <c r="I26" s="126"/>
      <c r="J26" s="126"/>
      <c r="K26" s="128"/>
      <c r="L26" s="128"/>
      <c r="M26" s="128"/>
      <c r="N26" s="144">
        <v>300</v>
      </c>
      <c r="O26" s="126"/>
      <c r="P26" s="127"/>
      <c r="Q26" s="126">
        <v>80</v>
      </c>
      <c r="R26" s="146"/>
      <c r="S26" s="143">
        <f t="shared" si="0"/>
        <v>1383.27</v>
      </c>
      <c r="T26" s="152"/>
    </row>
    <row r="27" spans="1:21" s="117" customFormat="1" ht="15.6">
      <c r="A27" s="123">
        <v>13</v>
      </c>
      <c r="B27" s="944" t="s">
        <v>298</v>
      </c>
      <c r="C27" s="945" t="s">
        <v>299</v>
      </c>
      <c r="D27" s="944" t="s">
        <v>369</v>
      </c>
      <c r="E27" s="937"/>
      <c r="F27" s="938">
        <v>402.1</v>
      </c>
      <c r="G27" s="939"/>
      <c r="H27" s="940"/>
      <c r="I27" s="941"/>
      <c r="J27" s="941"/>
      <c r="K27" s="940"/>
      <c r="L27" s="940"/>
      <c r="M27" s="940"/>
      <c r="N27" s="144">
        <v>300</v>
      </c>
      <c r="O27" s="941"/>
      <c r="P27" s="942"/>
      <c r="Q27" s="941">
        <v>200</v>
      </c>
      <c r="R27" s="943"/>
      <c r="S27" s="143">
        <f t="shared" si="0"/>
        <v>902.1</v>
      </c>
      <c r="T27" s="152"/>
    </row>
    <row r="28" spans="1:21" s="117" customFormat="1" ht="15.6">
      <c r="A28" s="123">
        <v>14</v>
      </c>
      <c r="B28" s="640" t="s">
        <v>300</v>
      </c>
      <c r="C28" s="642" t="s">
        <v>301</v>
      </c>
      <c r="D28" s="641" t="s">
        <v>366</v>
      </c>
      <c r="E28" s="635"/>
      <c r="F28" s="125">
        <v>408.44</v>
      </c>
      <c r="G28" s="125"/>
      <c r="H28" s="128"/>
      <c r="I28" s="126">
        <v>4002</v>
      </c>
      <c r="J28" s="126"/>
      <c r="K28" s="128"/>
      <c r="L28" s="128"/>
      <c r="M28" s="128">
        <v>942</v>
      </c>
      <c r="N28" s="144">
        <v>300</v>
      </c>
      <c r="O28" s="126"/>
      <c r="P28" s="126"/>
      <c r="Q28" s="126">
        <v>40</v>
      </c>
      <c r="R28" s="146"/>
      <c r="S28" s="143">
        <f t="shared" si="0"/>
        <v>5692.44</v>
      </c>
    </row>
    <row r="29" spans="1:21" s="117" customFormat="1" ht="15.6">
      <c r="A29" s="123">
        <v>15</v>
      </c>
      <c r="B29" s="640" t="s">
        <v>302</v>
      </c>
      <c r="C29" s="642" t="s">
        <v>303</v>
      </c>
      <c r="D29" s="641" t="s">
        <v>371</v>
      </c>
      <c r="E29" s="635"/>
      <c r="F29" s="125">
        <v>400.89</v>
      </c>
      <c r="G29" s="125"/>
      <c r="H29" s="128"/>
      <c r="I29" s="126"/>
      <c r="J29" s="126"/>
      <c r="K29" s="128"/>
      <c r="L29" s="128"/>
      <c r="M29" s="128"/>
      <c r="N29" s="144">
        <v>300</v>
      </c>
      <c r="O29" s="144"/>
      <c r="P29" s="127"/>
      <c r="Q29" s="126">
        <v>100</v>
      </c>
      <c r="R29" s="146"/>
      <c r="S29" s="143">
        <f t="shared" si="0"/>
        <v>800.89</v>
      </c>
    </row>
    <row r="30" spans="1:21" s="117" customFormat="1" ht="15.6">
      <c r="A30" s="123">
        <v>16</v>
      </c>
      <c r="B30" s="640" t="s">
        <v>304</v>
      </c>
      <c r="C30" s="642" t="s">
        <v>305</v>
      </c>
      <c r="D30" s="641" t="s">
        <v>296</v>
      </c>
      <c r="E30" s="635"/>
      <c r="F30" s="125">
        <v>402.64</v>
      </c>
      <c r="G30" s="125">
        <v>500</v>
      </c>
      <c r="H30" s="128">
        <v>500</v>
      </c>
      <c r="I30" s="126">
        <v>5820</v>
      </c>
      <c r="J30" s="126"/>
      <c r="K30" s="128"/>
      <c r="L30" s="128"/>
      <c r="M30" s="128">
        <v>942</v>
      </c>
      <c r="N30" s="144">
        <v>300</v>
      </c>
      <c r="O30" s="126">
        <v>2182</v>
      </c>
      <c r="P30" s="126"/>
      <c r="Q30" s="126"/>
      <c r="R30" s="146"/>
      <c r="S30" s="143">
        <f>F30+H30+I30+J30+K30+L30+M30+N30+O30+P30+Q30+R30+G30</f>
        <v>10646.64</v>
      </c>
    </row>
    <row r="31" spans="1:21" s="117" customFormat="1" ht="15.6">
      <c r="A31" s="123">
        <v>17</v>
      </c>
      <c r="B31" s="640" t="s">
        <v>306</v>
      </c>
      <c r="C31" s="642" t="s">
        <v>307</v>
      </c>
      <c r="D31" s="641" t="s">
        <v>551</v>
      </c>
      <c r="E31" s="635"/>
      <c r="F31" s="125">
        <v>409.54</v>
      </c>
      <c r="G31" s="125"/>
      <c r="H31" s="128">
        <v>1000</v>
      </c>
      <c r="I31" s="126"/>
      <c r="J31" s="126"/>
      <c r="K31" s="128"/>
      <c r="L31" s="128"/>
      <c r="M31" s="128"/>
      <c r="N31" s="144">
        <v>300</v>
      </c>
      <c r="O31" s="126"/>
      <c r="P31" s="127"/>
      <c r="Q31" s="126">
        <v>89.92</v>
      </c>
      <c r="R31" s="126"/>
      <c r="S31" s="143">
        <f>F31+H31+I31+J31+K31+L31+M31+N31+O31+P31+Q31+R31</f>
        <v>1799.46</v>
      </c>
    </row>
    <row r="32" spans="1:21" s="117" customFormat="1" ht="15.6">
      <c r="A32" s="123">
        <v>18</v>
      </c>
      <c r="B32" s="640" t="s">
        <v>308</v>
      </c>
      <c r="C32" s="642" t="s">
        <v>309</v>
      </c>
      <c r="D32" s="641" t="s">
        <v>377</v>
      </c>
      <c r="E32" s="635"/>
      <c r="F32" s="125">
        <v>101.8</v>
      </c>
      <c r="G32" s="125"/>
      <c r="H32" s="129"/>
      <c r="I32" s="126">
        <v>17333</v>
      </c>
      <c r="J32" s="126"/>
      <c r="K32" s="126"/>
      <c r="L32" s="126"/>
      <c r="M32" s="126"/>
      <c r="N32" s="144">
        <v>300</v>
      </c>
      <c r="O32" s="147"/>
      <c r="P32" s="147"/>
      <c r="Q32" s="124"/>
      <c r="R32" s="148"/>
      <c r="S32" s="143">
        <f>F32+H32+I32+J32+K32+L32+M32+N32+O32+P32+Q32+R32</f>
        <v>17734.8</v>
      </c>
    </row>
    <row r="33" spans="1:19" s="117" customFormat="1" ht="15.6">
      <c r="A33" s="123">
        <v>19</v>
      </c>
      <c r="B33" s="640" t="s">
        <v>310</v>
      </c>
      <c r="C33" s="642" t="s">
        <v>311</v>
      </c>
      <c r="D33" s="641" t="s">
        <v>379</v>
      </c>
      <c r="E33" s="635"/>
      <c r="F33" s="125">
        <v>402.15</v>
      </c>
      <c r="G33" s="125"/>
      <c r="H33" s="126">
        <v>1000</v>
      </c>
      <c r="I33" s="126">
        <v>7137</v>
      </c>
      <c r="J33" s="127"/>
      <c r="K33" s="126"/>
      <c r="L33" s="126"/>
      <c r="M33" s="126"/>
      <c r="N33" s="144">
        <v>300</v>
      </c>
      <c r="O33" s="147"/>
      <c r="P33" s="147"/>
      <c r="Q33" s="149"/>
      <c r="R33" s="148"/>
      <c r="S33" s="143">
        <f>F33+H33+I33+J33+K33+L33+M33+N33+O33+P33+Q33+R33</f>
        <v>8839.15</v>
      </c>
    </row>
    <row r="34" spans="1:19" s="117" customFormat="1" ht="15.6">
      <c r="A34" s="123">
        <v>20</v>
      </c>
      <c r="B34" s="640" t="s">
        <v>312</v>
      </c>
      <c r="C34" s="642" t="s">
        <v>313</v>
      </c>
      <c r="D34" s="639" t="s">
        <v>381</v>
      </c>
      <c r="E34" s="635"/>
      <c r="F34" s="125">
        <v>402.98</v>
      </c>
      <c r="G34" s="125"/>
      <c r="H34" s="126"/>
      <c r="I34" s="126"/>
      <c r="J34" s="126"/>
      <c r="K34" s="126"/>
      <c r="L34" s="126"/>
      <c r="M34" s="126"/>
      <c r="N34" s="144">
        <v>300</v>
      </c>
      <c r="O34" s="147"/>
      <c r="P34" s="147"/>
      <c r="Q34" s="147"/>
      <c r="R34" s="148"/>
      <c r="S34" s="143">
        <f>F34+H34+I34+J34+K34+L34+M34+N34+O34+P34+Q34+R34</f>
        <v>702.98</v>
      </c>
    </row>
    <row r="35" spans="1:19" s="117" customFormat="1" ht="15.6">
      <c r="A35" s="123"/>
      <c r="B35" s="123"/>
      <c r="C35" s="638"/>
      <c r="D35" s="1156" t="s">
        <v>431</v>
      </c>
      <c r="E35" s="1157"/>
      <c r="F35" s="130">
        <f t="shared" ref="F35:R35" si="1">SUM(F15:F34)</f>
        <v>8468.61</v>
      </c>
      <c r="G35" s="130">
        <f t="shared" si="1"/>
        <v>500</v>
      </c>
      <c r="H35" s="130">
        <f t="shared" si="1"/>
        <v>28500</v>
      </c>
      <c r="I35" s="130">
        <f t="shared" si="1"/>
        <v>44846</v>
      </c>
      <c r="J35" s="130">
        <f t="shared" si="1"/>
        <v>0</v>
      </c>
      <c r="K35" s="130">
        <f t="shared" si="1"/>
        <v>440</v>
      </c>
      <c r="L35" s="130">
        <f t="shared" si="1"/>
        <v>1173.5</v>
      </c>
      <c r="M35" s="130">
        <f t="shared" si="1"/>
        <v>3297</v>
      </c>
      <c r="N35" s="130">
        <f t="shared" si="1"/>
        <v>6000</v>
      </c>
      <c r="O35" s="130">
        <f t="shared" si="1"/>
        <v>4607</v>
      </c>
      <c r="P35" s="130">
        <f t="shared" si="1"/>
        <v>0</v>
      </c>
      <c r="Q35" s="130">
        <f t="shared" si="1"/>
        <v>1107.92</v>
      </c>
      <c r="R35" s="130">
        <f t="shared" si="1"/>
        <v>0</v>
      </c>
      <c r="S35" s="130">
        <f>F35+G35+H35+I35+J35+K35+L35+M35+N35+O35+P35+Q35+R35</f>
        <v>98940.03</v>
      </c>
    </row>
    <row r="36" spans="1:19" s="117" customFormat="1" ht="15.6">
      <c r="A36" s="118"/>
      <c r="B36" s="118"/>
      <c r="C36" s="118"/>
      <c r="D36" s="118"/>
      <c r="E36" s="118"/>
      <c r="F36" s="118"/>
      <c r="G36" s="118"/>
      <c r="H36" s="118"/>
      <c r="I36" s="118"/>
      <c r="J36" s="118"/>
      <c r="K36" s="118"/>
      <c r="L36" s="118"/>
      <c r="M36" s="118"/>
      <c r="N36" s="118"/>
      <c r="O36" s="118"/>
      <c r="P36" s="118"/>
      <c r="Q36" s="118"/>
      <c r="R36" s="118"/>
      <c r="S36" s="118"/>
    </row>
    <row r="37" spans="1:19" s="117" customFormat="1" ht="15.6">
      <c r="A37" s="118"/>
      <c r="B37" s="118"/>
      <c r="C37" s="118"/>
      <c r="D37" s="118"/>
      <c r="E37" s="118"/>
      <c r="F37" s="118"/>
      <c r="G37" s="118"/>
      <c r="H37" s="118"/>
      <c r="I37" s="118"/>
      <c r="J37" s="118"/>
      <c r="K37" s="118"/>
      <c r="L37" s="118"/>
      <c r="M37" s="118"/>
      <c r="N37" s="118"/>
      <c r="O37" s="118"/>
      <c r="P37" s="118"/>
      <c r="Q37" s="118"/>
      <c r="R37" s="118"/>
      <c r="S37" s="118"/>
    </row>
    <row r="38" spans="1:19" s="117" customFormat="1" ht="15.6">
      <c r="A38" s="118"/>
      <c r="B38" s="118"/>
      <c r="C38" s="118"/>
      <c r="D38" s="118"/>
      <c r="E38" s="118"/>
      <c r="F38" s="118"/>
      <c r="G38" s="118"/>
      <c r="H38" s="118"/>
      <c r="I38" s="118"/>
      <c r="J38" s="118"/>
      <c r="K38" s="118"/>
      <c r="L38" s="118"/>
      <c r="M38" s="118"/>
      <c r="N38" s="118"/>
      <c r="O38" s="118"/>
      <c r="P38" s="118"/>
      <c r="Q38" s="118"/>
      <c r="R38" s="118"/>
      <c r="S38" s="118"/>
    </row>
    <row r="39" spans="1:19" s="117" customFormat="1" ht="15.6"/>
    <row r="40" spans="1:19" s="117" customFormat="1" ht="15.6"/>
    <row r="41" spans="1:19" s="117" customFormat="1" ht="15.6"/>
    <row r="42" spans="1:19" s="117" customFormat="1" ht="15.6"/>
    <row r="43" spans="1:19" s="117" customFormat="1" ht="15.6"/>
    <row r="44" spans="1:19" s="117" customFormat="1" ht="15.6"/>
    <row r="45" spans="1:19" s="117" customFormat="1" ht="15.6"/>
    <row r="46" spans="1:19" s="117" customFormat="1" ht="15.6"/>
    <row r="47" spans="1:19" s="117" customFormat="1" ht="15.6"/>
    <row r="48" spans="1:19" s="117" customFormat="1" ht="15.6"/>
    <row r="49" spans="1:19" s="117" customFormat="1" ht="15.6"/>
    <row r="51" spans="1:19" ht="2.25" customHeight="1"/>
    <row r="57" spans="1:19" ht="13.8">
      <c r="E57" s="131"/>
      <c r="F57" s="132"/>
      <c r="G57" s="132"/>
      <c r="H57" s="133"/>
      <c r="I57" s="133"/>
      <c r="J57" s="133"/>
      <c r="K57" s="134"/>
      <c r="L57" s="134"/>
      <c r="M57" s="134"/>
      <c r="N57" s="150"/>
      <c r="O57" s="133"/>
      <c r="P57" s="151"/>
      <c r="Q57" s="151"/>
      <c r="R57" s="133"/>
      <c r="S57" s="153"/>
    </row>
    <row r="58" spans="1:19" ht="13.8">
      <c r="A58" s="131"/>
      <c r="B58" s="131"/>
      <c r="C58" s="131"/>
      <c r="D58" s="131"/>
      <c r="E58" s="131"/>
      <c r="F58" s="132"/>
      <c r="G58" s="132"/>
      <c r="H58" s="134"/>
      <c r="I58" s="133"/>
      <c r="J58" s="133"/>
      <c r="K58" s="134"/>
      <c r="L58" s="134"/>
      <c r="M58" s="134"/>
      <c r="N58" s="150"/>
      <c r="O58" s="133"/>
      <c r="P58" s="151"/>
      <c r="Q58" s="151"/>
      <c r="R58" s="133"/>
      <c r="S58" s="153"/>
    </row>
    <row r="59" spans="1:19" ht="13.8">
      <c r="A59" s="135"/>
      <c r="B59" s="135"/>
      <c r="C59" s="135"/>
      <c r="D59" s="135"/>
      <c r="E59" s="131"/>
      <c r="F59" s="132"/>
      <c r="G59" s="132"/>
      <c r="H59" s="134"/>
      <c r="I59" s="133"/>
      <c r="J59" s="133"/>
      <c r="K59" s="134"/>
      <c r="L59" s="134"/>
      <c r="M59" s="134"/>
      <c r="N59" s="134"/>
      <c r="O59" s="133"/>
      <c r="P59" s="133"/>
      <c r="Q59" s="133"/>
      <c r="R59" s="133"/>
      <c r="S59" s="154"/>
    </row>
    <row r="60" spans="1:19" ht="13.8">
      <c r="A60" s="135"/>
      <c r="B60" s="135"/>
      <c r="C60" s="135"/>
      <c r="D60" s="135"/>
      <c r="E60" s="131"/>
      <c r="F60" s="132"/>
      <c r="G60" s="132"/>
      <c r="H60" s="134"/>
      <c r="I60" s="133"/>
      <c r="J60" s="133"/>
      <c r="K60" s="134"/>
      <c r="L60" s="134"/>
      <c r="M60" s="134"/>
      <c r="N60" s="134"/>
      <c r="O60" s="133"/>
      <c r="P60" s="133"/>
      <c r="Q60" s="133"/>
      <c r="R60" s="133"/>
      <c r="S60" s="154"/>
    </row>
    <row r="61" spans="1:19" ht="13.8">
      <c r="A61" s="135"/>
      <c r="B61" s="135"/>
      <c r="C61" s="135"/>
      <c r="D61" s="135"/>
      <c r="E61" s="131"/>
      <c r="F61" s="132"/>
      <c r="G61" s="132"/>
      <c r="H61" s="134"/>
      <c r="I61" s="133"/>
      <c r="J61" s="133"/>
      <c r="K61" s="134"/>
      <c r="L61" s="134"/>
      <c r="M61" s="134"/>
      <c r="N61" s="134"/>
      <c r="O61" s="133"/>
      <c r="P61" s="133"/>
      <c r="Q61" s="133"/>
      <c r="R61" s="133"/>
      <c r="S61" s="154"/>
    </row>
    <row r="62" spans="1:19" ht="13.8">
      <c r="A62" s="135"/>
      <c r="B62" s="135"/>
      <c r="C62" s="135"/>
      <c r="D62" s="135"/>
      <c r="E62" s="131"/>
      <c r="F62" s="132"/>
      <c r="G62" s="132"/>
      <c r="H62" s="134"/>
      <c r="I62" s="133"/>
      <c r="J62" s="133"/>
      <c r="K62" s="134"/>
      <c r="L62" s="134"/>
      <c r="M62" s="134"/>
      <c r="N62" s="134"/>
      <c r="O62" s="133"/>
      <c r="P62" s="133"/>
      <c r="Q62" s="133"/>
      <c r="R62" s="133"/>
      <c r="S62" s="154"/>
    </row>
    <row r="63" spans="1:19" ht="13.8">
      <c r="A63" s="135"/>
      <c r="B63" s="135"/>
      <c r="C63" s="135"/>
      <c r="D63" s="135"/>
      <c r="E63" s="131"/>
      <c r="F63" s="132"/>
      <c r="G63" s="132"/>
      <c r="H63" s="134"/>
      <c r="I63" s="133"/>
      <c r="J63" s="133"/>
      <c r="K63" s="134"/>
      <c r="L63" s="134"/>
      <c r="M63" s="134"/>
      <c r="N63" s="134"/>
      <c r="O63" s="133"/>
      <c r="P63" s="133"/>
      <c r="Q63" s="133"/>
      <c r="R63" s="133"/>
      <c r="S63" s="154"/>
    </row>
    <row r="64" spans="1:19" ht="13.8">
      <c r="A64" s="135"/>
      <c r="B64" s="135"/>
      <c r="C64" s="135"/>
      <c r="D64" s="135"/>
      <c r="E64" s="131"/>
      <c r="F64" s="132"/>
      <c r="G64" s="132"/>
      <c r="H64" s="134"/>
      <c r="I64" s="133"/>
      <c r="J64" s="133"/>
      <c r="K64" s="134"/>
      <c r="L64" s="134"/>
      <c r="M64" s="134"/>
      <c r="N64" s="134"/>
      <c r="O64" s="133"/>
      <c r="P64" s="133"/>
      <c r="Q64" s="133"/>
      <c r="R64" s="133"/>
      <c r="S64" s="154"/>
    </row>
    <row r="65" spans="1:19" ht="13.8">
      <c r="A65" s="135"/>
      <c r="B65" s="135"/>
      <c r="C65" s="135"/>
      <c r="D65" s="135"/>
      <c r="E65" s="1180"/>
      <c r="F65" s="1180"/>
      <c r="G65" s="136"/>
      <c r="H65" s="134"/>
      <c r="I65" s="133"/>
      <c r="J65" s="133"/>
      <c r="K65" s="134"/>
      <c r="L65" s="134"/>
      <c r="M65" s="134"/>
      <c r="N65" s="134"/>
      <c r="O65" s="133"/>
      <c r="P65" s="133"/>
      <c r="Q65" s="133"/>
      <c r="R65" s="133"/>
      <c r="S65" s="154"/>
    </row>
    <row r="66" spans="1:19" ht="13.8">
      <c r="A66" s="135"/>
      <c r="B66" s="135"/>
      <c r="C66" s="135"/>
      <c r="D66" s="135"/>
      <c r="E66" s="1181"/>
      <c r="F66" s="1181"/>
      <c r="G66" s="137"/>
      <c r="H66" s="134"/>
      <c r="I66" s="133"/>
      <c r="J66" s="133"/>
      <c r="K66" s="134"/>
      <c r="L66" s="134"/>
      <c r="M66" s="134"/>
      <c r="N66" s="134"/>
      <c r="O66" s="133"/>
      <c r="P66" s="133"/>
      <c r="Q66" s="133"/>
      <c r="R66" s="133"/>
      <c r="S66" s="154"/>
    </row>
    <row r="67" spans="1:19" ht="13.8">
      <c r="A67" s="135"/>
      <c r="B67" s="135"/>
      <c r="C67" s="135"/>
      <c r="D67" s="135"/>
      <c r="E67" s="137"/>
      <c r="F67" s="137"/>
      <c r="G67" s="137"/>
      <c r="H67" s="134"/>
      <c r="I67" s="133"/>
      <c r="J67" s="133"/>
      <c r="K67" s="134"/>
      <c r="L67" s="134"/>
      <c r="M67" s="134"/>
      <c r="N67" s="134"/>
      <c r="O67" s="133"/>
      <c r="P67" s="133"/>
      <c r="Q67" s="133"/>
      <c r="R67" s="133"/>
      <c r="S67" s="154"/>
    </row>
    <row r="68" spans="1:19" ht="13.8">
      <c r="A68" s="135"/>
      <c r="B68" s="135"/>
      <c r="C68" s="135"/>
      <c r="D68" s="135"/>
      <c r="E68" s="137"/>
      <c r="F68" s="137"/>
      <c r="G68" s="137"/>
      <c r="H68" s="134"/>
      <c r="I68" s="133"/>
      <c r="J68" s="133"/>
      <c r="K68" s="134"/>
      <c r="L68" s="134"/>
      <c r="M68" s="134"/>
      <c r="N68" s="134"/>
      <c r="O68" s="133"/>
      <c r="P68" s="133"/>
      <c r="Q68" s="133"/>
      <c r="R68" s="133"/>
      <c r="S68" s="154"/>
    </row>
    <row r="69" spans="1:19" ht="15.6">
      <c r="A69" s="135"/>
      <c r="B69" s="135"/>
      <c r="C69" s="135"/>
      <c r="D69" s="135"/>
      <c r="E69" s="137"/>
      <c r="F69" s="137"/>
      <c r="G69" s="137"/>
      <c r="H69" s="1158"/>
      <c r="I69" s="1158"/>
      <c r="J69" s="1158"/>
      <c r="K69" s="1158"/>
      <c r="L69" s="1158"/>
      <c r="M69" s="1158"/>
      <c r="N69" s="134"/>
      <c r="O69" s="133"/>
      <c r="P69" s="133"/>
      <c r="Q69" s="133"/>
      <c r="R69" s="133"/>
      <c r="S69" s="154"/>
    </row>
    <row r="70" spans="1:19" ht="15.6">
      <c r="A70" s="135"/>
      <c r="B70" s="135"/>
      <c r="C70" s="135"/>
      <c r="D70" s="135"/>
      <c r="E70" s="137"/>
      <c r="F70" s="137"/>
      <c r="G70" s="137"/>
      <c r="H70" s="1152"/>
      <c r="I70" s="1152"/>
      <c r="J70" s="1152"/>
      <c r="K70" s="1152"/>
      <c r="L70" s="1152"/>
      <c r="M70" s="1152"/>
      <c r="N70" s="1152"/>
      <c r="O70" s="133"/>
      <c r="P70" s="133"/>
      <c r="Q70" s="133"/>
      <c r="R70" s="133"/>
      <c r="S70" s="154"/>
    </row>
    <row r="71" spans="1:19" ht="15.6">
      <c r="A71" s="135"/>
      <c r="B71" s="135"/>
      <c r="C71" s="135"/>
      <c r="D71" s="135"/>
      <c r="E71" s="137"/>
      <c r="F71" s="137"/>
      <c r="G71" s="137"/>
      <c r="H71" s="134"/>
      <c r="I71" s="1152" t="s">
        <v>342</v>
      </c>
      <c r="J71" s="1152"/>
      <c r="K71" s="1152"/>
      <c r="L71" s="1152"/>
      <c r="M71" s="1152"/>
      <c r="N71" s="134"/>
      <c r="O71" s="133"/>
      <c r="P71" s="133"/>
      <c r="Q71" s="133"/>
      <c r="R71" s="133"/>
      <c r="S71" s="154"/>
    </row>
    <row r="72" spans="1:19" s="118" customFormat="1" ht="13.8">
      <c r="A72" s="120"/>
      <c r="B72" s="120"/>
      <c r="C72" s="120"/>
      <c r="D72" s="120"/>
      <c r="E72" s="138"/>
      <c r="F72" s="138"/>
      <c r="G72" s="138"/>
      <c r="H72" s="139"/>
      <c r="I72" s="140"/>
      <c r="J72" s="140"/>
      <c r="K72" s="139"/>
      <c r="L72" s="139"/>
      <c r="M72" s="139"/>
      <c r="N72" s="139"/>
      <c r="O72" s="140"/>
      <c r="P72" s="140"/>
      <c r="Q72" s="140"/>
      <c r="R72" s="140"/>
      <c r="S72" s="155"/>
    </row>
    <row r="73" spans="1:19" s="118" customFormat="1" ht="13.8">
      <c r="A73" s="120"/>
      <c r="B73" s="120"/>
      <c r="C73" s="120"/>
      <c r="D73" s="120"/>
      <c r="E73" s="138"/>
      <c r="F73" s="138"/>
      <c r="G73" s="138"/>
      <c r="H73" s="139"/>
      <c r="I73" s="1153" t="s">
        <v>632</v>
      </c>
      <c r="J73" s="1153"/>
      <c r="K73" s="1153"/>
      <c r="L73" s="1153"/>
      <c r="M73" s="1153"/>
      <c r="N73" s="139"/>
      <c r="O73" s="140"/>
      <c r="P73" s="140"/>
      <c r="Q73" s="140"/>
      <c r="R73" s="140"/>
      <c r="S73" s="155"/>
    </row>
    <row r="74" spans="1:19" s="118" customFormat="1" ht="13.8">
      <c r="A74" s="1159" t="s">
        <v>712</v>
      </c>
      <c r="B74" s="1159"/>
      <c r="C74" s="1159"/>
      <c r="D74" s="1159"/>
      <c r="E74" s="1159"/>
      <c r="F74" s="1159"/>
      <c r="G74" s="1159"/>
      <c r="H74" s="1159"/>
      <c r="I74" s="1159"/>
      <c r="J74" s="1159"/>
      <c r="K74" s="1159"/>
      <c r="L74" s="1159"/>
      <c r="M74" s="1159"/>
      <c r="N74" s="1159"/>
      <c r="O74" s="1159"/>
      <c r="P74" s="1159"/>
      <c r="Q74" s="1159"/>
      <c r="R74" s="1159"/>
      <c r="S74" s="1159"/>
    </row>
    <row r="75" spans="1:19" s="118" customFormat="1" ht="13.8">
      <c r="A75" s="1154"/>
      <c r="B75" s="1154"/>
      <c r="C75" s="1154"/>
      <c r="D75" s="1154"/>
      <c r="E75" s="1154"/>
      <c r="F75" s="1154"/>
      <c r="G75" s="1154"/>
      <c r="H75" s="1154"/>
      <c r="I75" s="1154"/>
      <c r="J75" s="1154"/>
      <c r="K75" s="1154"/>
      <c r="L75" s="1154"/>
      <c r="M75" s="1154"/>
      <c r="N75" s="1154"/>
      <c r="O75" s="1154"/>
      <c r="P75" s="1154"/>
      <c r="Q75" s="1154"/>
      <c r="R75" s="1154"/>
      <c r="S75" s="1154"/>
    </row>
    <row r="76" spans="1:19" s="118" customFormat="1" ht="13.8">
      <c r="A76" s="1154"/>
      <c r="B76" s="1154"/>
      <c r="C76" s="1154"/>
      <c r="D76" s="1154"/>
      <c r="E76" s="1154"/>
      <c r="F76" s="1154"/>
      <c r="G76" s="1154"/>
      <c r="H76" s="1154"/>
      <c r="I76" s="1154"/>
      <c r="J76" s="1154"/>
      <c r="K76" s="1154"/>
      <c r="L76" s="1154"/>
      <c r="M76" s="1154"/>
      <c r="N76" s="1154"/>
      <c r="O76" s="1154"/>
      <c r="P76" s="1154"/>
      <c r="Q76" s="1154"/>
      <c r="R76" s="1154"/>
      <c r="S76" s="1154"/>
    </row>
    <row r="77" spans="1:19" s="118" customFormat="1" ht="13.8">
      <c r="A77" s="120"/>
      <c r="B77" s="120"/>
      <c r="C77" s="120"/>
      <c r="D77" s="120"/>
      <c r="E77" s="120"/>
      <c r="F77" s="120"/>
      <c r="G77" s="120"/>
      <c r="H77" s="120"/>
      <c r="I77" s="120"/>
      <c r="J77" s="120"/>
      <c r="K77" s="120"/>
      <c r="L77" s="120"/>
      <c r="M77" s="120"/>
      <c r="N77" s="120"/>
      <c r="O77" s="120"/>
      <c r="P77" s="120"/>
      <c r="Q77" s="120"/>
      <c r="R77" s="120"/>
      <c r="S77" s="120"/>
    </row>
    <row r="78" spans="1:19" s="118" customFormat="1" ht="13.8">
      <c r="A78" s="120"/>
      <c r="B78" s="120"/>
      <c r="C78" s="120"/>
      <c r="D78" s="120"/>
      <c r="E78" s="121"/>
      <c r="F78" s="121"/>
      <c r="G78" s="121"/>
      <c r="H78" s="121"/>
      <c r="I78" s="121"/>
      <c r="J78" s="121"/>
      <c r="K78" s="121"/>
      <c r="L78" s="121"/>
      <c r="M78" s="121"/>
      <c r="N78" s="121"/>
      <c r="O78" s="121"/>
      <c r="P78" s="121"/>
      <c r="Q78" s="121"/>
      <c r="R78" s="121"/>
      <c r="S78" s="121"/>
    </row>
    <row r="79" spans="1:19" s="118" customFormat="1" ht="12.75" customHeight="1">
      <c r="A79" s="1183" t="s">
        <v>633</v>
      </c>
      <c r="B79" s="665"/>
      <c r="C79" s="665"/>
      <c r="D79" s="1176" t="s">
        <v>345</v>
      </c>
      <c r="E79" s="1162" t="s">
        <v>628</v>
      </c>
      <c r="F79" s="1169"/>
      <c r="G79" s="1169"/>
      <c r="H79" s="1169"/>
      <c r="I79" s="1166" t="s">
        <v>419</v>
      </c>
      <c r="J79" s="1166" t="s">
        <v>420</v>
      </c>
      <c r="K79" s="1169" t="s">
        <v>421</v>
      </c>
      <c r="L79" s="661"/>
      <c r="M79" s="661"/>
      <c r="N79" s="1169" t="s">
        <v>422</v>
      </c>
      <c r="O79" s="1169" t="s">
        <v>423</v>
      </c>
      <c r="P79" s="1169" t="s">
        <v>424</v>
      </c>
      <c r="Q79" s="1169" t="s">
        <v>425</v>
      </c>
      <c r="R79" s="662"/>
      <c r="S79" s="1169" t="s">
        <v>426</v>
      </c>
    </row>
    <row r="80" spans="1:19" s="118" customFormat="1" ht="27.6">
      <c r="A80" s="1184"/>
      <c r="B80" s="637" t="s">
        <v>538</v>
      </c>
      <c r="C80" s="637" t="s">
        <v>344</v>
      </c>
      <c r="D80" s="1177"/>
      <c r="E80" s="1163"/>
      <c r="F80" s="1170"/>
      <c r="G80" s="1170"/>
      <c r="H80" s="1170"/>
      <c r="I80" s="1167"/>
      <c r="J80" s="1168"/>
      <c r="K80" s="1170"/>
      <c r="L80" s="666"/>
      <c r="M80" s="141" t="s">
        <v>128</v>
      </c>
      <c r="N80" s="1165"/>
      <c r="O80" s="1165"/>
      <c r="P80" s="1170"/>
      <c r="Q80" s="1170"/>
      <c r="R80" s="122" t="s">
        <v>129</v>
      </c>
      <c r="S80" s="1165"/>
    </row>
    <row r="81" spans="1:21" s="118" customFormat="1" ht="13.8">
      <c r="A81" s="1184"/>
      <c r="B81" s="122"/>
      <c r="C81" s="122"/>
      <c r="D81" s="1177"/>
      <c r="E81" s="1164"/>
      <c r="F81" s="1165" t="s">
        <v>427</v>
      </c>
      <c r="G81" s="663" t="s">
        <v>432</v>
      </c>
      <c r="H81" s="1165" t="s">
        <v>126</v>
      </c>
      <c r="I81" s="1167"/>
      <c r="J81" s="1168"/>
      <c r="K81" s="1170"/>
      <c r="L81" s="141" t="s">
        <v>127</v>
      </c>
      <c r="M81" s="141" t="s">
        <v>137</v>
      </c>
      <c r="N81" s="1165"/>
      <c r="O81" s="1165"/>
      <c r="P81" s="1170"/>
      <c r="Q81" s="1170"/>
      <c r="R81" s="663" t="s">
        <v>137</v>
      </c>
      <c r="S81" s="1165"/>
    </row>
    <row r="82" spans="1:21" s="118" customFormat="1" ht="13.8">
      <c r="A82" s="1184"/>
      <c r="B82" s="649"/>
      <c r="C82" s="649"/>
      <c r="D82" s="1178"/>
      <c r="E82" s="1164"/>
      <c r="F82" s="1165"/>
      <c r="G82" s="663" t="s">
        <v>139</v>
      </c>
      <c r="H82" s="1165"/>
      <c r="I82" s="664"/>
      <c r="J82" s="1168"/>
      <c r="K82" s="1170"/>
      <c r="L82" s="141" t="s">
        <v>429</v>
      </c>
      <c r="M82" s="142"/>
      <c r="N82" s="1165"/>
      <c r="O82" s="1165"/>
      <c r="P82" s="1170"/>
      <c r="Q82" s="1170"/>
      <c r="R82" s="663"/>
      <c r="S82" s="1165"/>
    </row>
    <row r="83" spans="1:21" s="118" customFormat="1" ht="13.8">
      <c r="A83" s="667">
        <v>21</v>
      </c>
      <c r="B83" s="668" t="s">
        <v>314</v>
      </c>
      <c r="C83" s="668" t="s">
        <v>315</v>
      </c>
      <c r="D83" s="668" t="s">
        <v>383</v>
      </c>
      <c r="E83" s="669"/>
      <c r="F83" s="125">
        <v>409.04</v>
      </c>
      <c r="G83" s="125"/>
      <c r="H83" s="126">
        <v>500</v>
      </c>
      <c r="I83" s="126"/>
      <c r="J83" s="126"/>
      <c r="K83" s="126"/>
      <c r="L83" s="126">
        <v>228.15</v>
      </c>
      <c r="M83" s="126"/>
      <c r="N83" s="144">
        <v>300</v>
      </c>
      <c r="O83" s="126"/>
      <c r="P83" s="126"/>
      <c r="Q83" s="126">
        <v>100</v>
      </c>
      <c r="R83" s="126"/>
      <c r="S83" s="143">
        <f t="shared" ref="S83:S99" si="2">F83+H83+I83+J83+K83+L83+M83+N83+O83+P83+Q83+R83</f>
        <v>1537.19</v>
      </c>
      <c r="U83" s="121"/>
    </row>
    <row r="84" spans="1:21" s="118" customFormat="1" ht="13.8">
      <c r="A84" s="667">
        <v>22</v>
      </c>
      <c r="B84" s="668" t="s">
        <v>316</v>
      </c>
      <c r="C84" s="668" t="s">
        <v>317</v>
      </c>
      <c r="D84" s="668" t="s">
        <v>385</v>
      </c>
      <c r="E84" s="669"/>
      <c r="F84" s="125">
        <v>406.38</v>
      </c>
      <c r="G84" s="125"/>
      <c r="H84" s="128"/>
      <c r="I84" s="126">
        <v>2774</v>
      </c>
      <c r="J84" s="126">
        <v>2708</v>
      </c>
      <c r="K84" s="128"/>
      <c r="L84" s="128"/>
      <c r="M84" s="128"/>
      <c r="N84" s="144">
        <v>300</v>
      </c>
      <c r="O84" s="126">
        <v>1354</v>
      </c>
      <c r="P84" s="126"/>
      <c r="Q84" s="126"/>
      <c r="R84" s="126"/>
      <c r="S84" s="143">
        <f t="shared" si="2"/>
        <v>7542.38</v>
      </c>
      <c r="U84" s="121"/>
    </row>
    <row r="85" spans="1:21" s="118" customFormat="1" ht="13.8">
      <c r="A85" s="667">
        <v>23</v>
      </c>
      <c r="B85" s="668" t="s">
        <v>318</v>
      </c>
      <c r="C85" s="668" t="s">
        <v>319</v>
      </c>
      <c r="D85" s="668" t="s">
        <v>387</v>
      </c>
      <c r="E85" s="669"/>
      <c r="F85" s="125">
        <v>406.03</v>
      </c>
      <c r="G85" s="156"/>
      <c r="H85" s="126"/>
      <c r="I85" s="126">
        <v>6787</v>
      </c>
      <c r="J85" s="126"/>
      <c r="K85" s="126"/>
      <c r="L85" s="126"/>
      <c r="M85" s="126"/>
      <c r="N85" s="144">
        <v>300</v>
      </c>
      <c r="O85" s="126"/>
      <c r="P85" s="126"/>
      <c r="Q85" s="126">
        <v>100</v>
      </c>
      <c r="R85" s="126"/>
      <c r="S85" s="143">
        <f t="shared" si="2"/>
        <v>7593.03</v>
      </c>
    </row>
    <row r="86" spans="1:21" s="118" customFormat="1" ht="13.8">
      <c r="A86" s="667">
        <v>24</v>
      </c>
      <c r="B86" s="668" t="s">
        <v>320</v>
      </c>
      <c r="C86" s="668" t="s">
        <v>321</v>
      </c>
      <c r="D86" s="668" t="s">
        <v>389</v>
      </c>
      <c r="E86" s="669"/>
      <c r="F86" s="125">
        <v>400.48</v>
      </c>
      <c r="G86" s="125"/>
      <c r="H86" s="128"/>
      <c r="I86" s="126"/>
      <c r="J86" s="126"/>
      <c r="K86" s="128"/>
      <c r="L86" s="128">
        <v>387</v>
      </c>
      <c r="M86" s="128"/>
      <c r="N86" s="144">
        <v>300</v>
      </c>
      <c r="O86" s="126"/>
      <c r="P86" s="127"/>
      <c r="Q86" s="126">
        <v>100</v>
      </c>
      <c r="R86" s="126"/>
      <c r="S86" s="143">
        <f t="shared" si="2"/>
        <v>1187.48</v>
      </c>
    </row>
    <row r="87" spans="1:21" s="118" customFormat="1" ht="13.8">
      <c r="A87" s="667">
        <v>25</v>
      </c>
      <c r="B87" s="668" t="s">
        <v>323</v>
      </c>
      <c r="C87" s="668" t="s">
        <v>283</v>
      </c>
      <c r="D87" s="668" t="s">
        <v>391</v>
      </c>
      <c r="E87" s="669"/>
      <c r="F87" s="125">
        <v>400.21</v>
      </c>
      <c r="G87" s="125"/>
      <c r="H87" s="126"/>
      <c r="I87" s="126"/>
      <c r="J87" s="126"/>
      <c r="K87" s="126"/>
      <c r="L87" s="173"/>
      <c r="M87" s="126"/>
      <c r="N87" s="144">
        <v>300</v>
      </c>
      <c r="O87" s="126"/>
      <c r="P87" s="126"/>
      <c r="Q87" s="126"/>
      <c r="R87" s="126"/>
      <c r="S87" s="143">
        <f t="shared" si="2"/>
        <v>700.21</v>
      </c>
    </row>
    <row r="88" spans="1:21" s="118" customFormat="1" ht="12.75" customHeight="1">
      <c r="A88" s="667">
        <v>26</v>
      </c>
      <c r="B88" s="668" t="s">
        <v>324</v>
      </c>
      <c r="C88" s="668" t="s">
        <v>325</v>
      </c>
      <c r="D88" s="668" t="s">
        <v>393</v>
      </c>
      <c r="E88" s="669"/>
      <c r="F88" s="125">
        <v>408.45</v>
      </c>
      <c r="G88" s="125"/>
      <c r="H88" s="128"/>
      <c r="I88" s="126">
        <v>4500</v>
      </c>
      <c r="J88" s="126"/>
      <c r="K88" s="128"/>
      <c r="L88" s="128"/>
      <c r="M88" s="128"/>
      <c r="N88" s="144">
        <v>300</v>
      </c>
      <c r="O88" s="126">
        <v>1806</v>
      </c>
      <c r="P88" s="126"/>
      <c r="Q88" s="126">
        <v>100</v>
      </c>
      <c r="R88" s="126"/>
      <c r="S88" s="143">
        <f t="shared" si="2"/>
        <v>7114.45</v>
      </c>
    </row>
    <row r="89" spans="1:21" s="118" customFormat="1" ht="13.8">
      <c r="A89" s="667">
        <v>27</v>
      </c>
      <c r="B89" s="668" t="s">
        <v>326</v>
      </c>
      <c r="C89" s="668" t="s">
        <v>327</v>
      </c>
      <c r="D89" s="668" t="s">
        <v>395</v>
      </c>
      <c r="E89" s="669"/>
      <c r="F89" s="125">
        <v>408.45</v>
      </c>
      <c r="G89" s="125"/>
      <c r="H89" s="126"/>
      <c r="I89" s="126">
        <v>8667</v>
      </c>
      <c r="J89" s="126"/>
      <c r="K89" s="128"/>
      <c r="L89" s="128">
        <v>320</v>
      </c>
      <c r="M89" s="128">
        <v>942</v>
      </c>
      <c r="N89" s="144">
        <v>300</v>
      </c>
      <c r="O89" s="126">
        <v>1746</v>
      </c>
      <c r="P89" s="127"/>
      <c r="Q89" s="126">
        <v>100</v>
      </c>
      <c r="R89" s="126"/>
      <c r="S89" s="143">
        <f t="shared" si="2"/>
        <v>12483.45</v>
      </c>
    </row>
    <row r="90" spans="1:21" s="118" customFormat="1" ht="13.8">
      <c r="A90" s="667">
        <v>28</v>
      </c>
      <c r="B90" s="668" t="s">
        <v>328</v>
      </c>
      <c r="C90" s="668" t="s">
        <v>329</v>
      </c>
      <c r="D90" s="668" t="s">
        <v>552</v>
      </c>
      <c r="E90" s="669"/>
      <c r="F90" s="125">
        <v>407.9</v>
      </c>
      <c r="G90" s="125"/>
      <c r="H90" s="128"/>
      <c r="I90" s="126">
        <v>5200</v>
      </c>
      <c r="J90" s="126"/>
      <c r="L90" s="128">
        <v>1177</v>
      </c>
      <c r="M90" s="128"/>
      <c r="N90" s="144">
        <v>300</v>
      </c>
      <c r="O90" s="126">
        <v>2425</v>
      </c>
      <c r="P90" s="126"/>
      <c r="Q90" s="126">
        <v>100</v>
      </c>
      <c r="R90" s="126"/>
      <c r="S90" s="143">
        <f t="shared" si="2"/>
        <v>9609.9</v>
      </c>
    </row>
    <row r="91" spans="1:21" s="118" customFormat="1" ht="13.8">
      <c r="A91" s="667">
        <v>29</v>
      </c>
      <c r="B91" s="668" t="s">
        <v>330</v>
      </c>
      <c r="C91" s="668" t="s">
        <v>331</v>
      </c>
      <c r="D91" s="915" t="s">
        <v>399</v>
      </c>
      <c r="E91" s="669"/>
      <c r="F91" s="125">
        <v>407.16</v>
      </c>
      <c r="G91" s="125"/>
      <c r="H91" s="126"/>
      <c r="I91" s="126">
        <v>3467</v>
      </c>
      <c r="J91" s="126"/>
      <c r="K91" s="126"/>
      <c r="L91" s="173"/>
      <c r="M91" s="126"/>
      <c r="N91" s="144">
        <v>300</v>
      </c>
      <c r="O91" s="126">
        <v>2148</v>
      </c>
      <c r="P91" s="126"/>
      <c r="Q91" s="126">
        <v>100</v>
      </c>
      <c r="R91" s="126"/>
      <c r="S91" s="143">
        <f t="shared" si="2"/>
        <v>6422.16</v>
      </c>
    </row>
    <row r="92" spans="1:21" s="118" customFormat="1" ht="13.8">
      <c r="A92" s="667">
        <v>30</v>
      </c>
      <c r="B92" s="668" t="s">
        <v>332</v>
      </c>
      <c r="C92" s="668" t="s">
        <v>333</v>
      </c>
      <c r="D92" s="668" t="s">
        <v>401</v>
      </c>
      <c r="E92" s="669"/>
      <c r="F92" s="125">
        <v>408.88</v>
      </c>
      <c r="G92" s="125"/>
      <c r="H92" s="128"/>
      <c r="I92" s="126">
        <v>3879</v>
      </c>
      <c r="J92" s="126"/>
      <c r="K92" s="128"/>
      <c r="L92" s="128"/>
      <c r="M92" s="128"/>
      <c r="N92" s="144">
        <v>300</v>
      </c>
      <c r="O92" s="126"/>
      <c r="P92" s="126"/>
      <c r="Q92" s="126"/>
      <c r="R92" s="126"/>
      <c r="S92" s="143">
        <f t="shared" si="2"/>
        <v>4587.88</v>
      </c>
    </row>
    <row r="93" spans="1:21" s="118" customFormat="1" ht="13.8">
      <c r="A93" s="667">
        <v>31</v>
      </c>
      <c r="B93" s="668" t="s">
        <v>334</v>
      </c>
      <c r="C93" s="668" t="s">
        <v>335</v>
      </c>
      <c r="D93" s="668" t="s">
        <v>403</v>
      </c>
      <c r="E93" s="669"/>
      <c r="F93" s="125">
        <v>407.88</v>
      </c>
      <c r="G93" s="125"/>
      <c r="H93" s="128"/>
      <c r="I93" s="126"/>
      <c r="J93" s="126"/>
      <c r="K93" s="128"/>
      <c r="L93" s="128"/>
      <c r="M93" s="128"/>
      <c r="N93" s="144">
        <v>300</v>
      </c>
      <c r="O93" s="126"/>
      <c r="Q93" s="126">
        <v>40</v>
      </c>
      <c r="R93" s="126"/>
      <c r="S93" s="143">
        <f t="shared" si="2"/>
        <v>747.88</v>
      </c>
    </row>
    <row r="94" spans="1:21" s="118" customFormat="1" ht="13.8">
      <c r="A94" s="667">
        <v>32</v>
      </c>
      <c r="B94" s="668" t="s">
        <v>336</v>
      </c>
      <c r="C94" s="668" t="s">
        <v>337</v>
      </c>
      <c r="D94" s="668" t="s">
        <v>405</v>
      </c>
      <c r="E94" s="669"/>
      <c r="F94" s="125">
        <v>407.57</v>
      </c>
      <c r="G94" s="125"/>
      <c r="H94" s="128"/>
      <c r="I94" s="126">
        <v>3467</v>
      </c>
      <c r="J94" s="126"/>
      <c r="K94" s="128"/>
      <c r="L94" s="128">
        <v>435</v>
      </c>
      <c r="M94" s="128"/>
      <c r="N94" s="144">
        <v>300</v>
      </c>
      <c r="O94" s="126"/>
      <c r="P94" s="126"/>
      <c r="Q94" s="126">
        <v>100</v>
      </c>
      <c r="R94" s="126"/>
      <c r="S94" s="143">
        <f t="shared" si="2"/>
        <v>4709.57</v>
      </c>
    </row>
    <row r="95" spans="1:21" s="118" customFormat="1" ht="13.8">
      <c r="A95" s="667">
        <v>33</v>
      </c>
      <c r="B95" s="894" t="s">
        <v>338</v>
      </c>
      <c r="C95" s="894" t="s">
        <v>339</v>
      </c>
      <c r="D95" s="894" t="s">
        <v>364</v>
      </c>
      <c r="E95" s="895"/>
      <c r="F95" s="125">
        <v>406.73</v>
      </c>
      <c r="G95" s="125"/>
      <c r="H95" s="128"/>
      <c r="I95" s="126">
        <v>2425</v>
      </c>
      <c r="J95" s="126"/>
      <c r="K95" s="128"/>
      <c r="L95" s="128"/>
      <c r="M95" s="128"/>
      <c r="N95" s="144">
        <v>300</v>
      </c>
      <c r="O95" s="126"/>
      <c r="P95" s="126"/>
      <c r="Q95" s="126">
        <v>40</v>
      </c>
      <c r="R95" s="146"/>
      <c r="S95" s="143">
        <f t="shared" si="2"/>
        <v>3171.73</v>
      </c>
    </row>
    <row r="96" spans="1:21" s="118" customFormat="1" ht="13.8">
      <c r="A96" s="667">
        <v>34</v>
      </c>
      <c r="B96" s="898" t="s">
        <v>653</v>
      </c>
      <c r="C96" s="898" t="s">
        <v>654</v>
      </c>
      <c r="D96" s="898" t="s">
        <v>655</v>
      </c>
      <c r="E96" s="896"/>
      <c r="F96" s="892">
        <v>401.48</v>
      </c>
      <c r="G96" s="887"/>
      <c r="H96" s="888"/>
      <c r="I96" s="889"/>
      <c r="J96" s="889"/>
      <c r="K96" s="888"/>
      <c r="L96" s="888"/>
      <c r="M96" s="888"/>
      <c r="N96" s="144">
        <v>300</v>
      </c>
      <c r="O96" s="889"/>
      <c r="P96" s="889"/>
      <c r="Q96" s="889"/>
      <c r="R96" s="890"/>
      <c r="S96" s="143">
        <f t="shared" si="2"/>
        <v>701.48</v>
      </c>
    </row>
    <row r="97" spans="1:21" s="118" customFormat="1" ht="13.8">
      <c r="A97" s="667">
        <v>35</v>
      </c>
      <c r="B97" s="898" t="s">
        <v>656</v>
      </c>
      <c r="C97" s="898" t="s">
        <v>657</v>
      </c>
      <c r="D97" s="898" t="s">
        <v>658</v>
      </c>
      <c r="E97" s="896"/>
      <c r="F97" s="892">
        <v>405.27</v>
      </c>
      <c r="G97" s="887"/>
      <c r="H97" s="888"/>
      <c r="I97" s="889"/>
      <c r="J97" s="889"/>
      <c r="K97" s="888"/>
      <c r="L97" s="888"/>
      <c r="M97" s="888"/>
      <c r="N97" s="144">
        <v>300</v>
      </c>
      <c r="O97" s="889"/>
      <c r="P97" s="889"/>
      <c r="Q97" s="889"/>
      <c r="R97" s="890"/>
      <c r="S97" s="143">
        <f t="shared" si="2"/>
        <v>705.27</v>
      </c>
    </row>
    <row r="98" spans="1:21" s="118" customFormat="1" ht="13.8">
      <c r="A98" s="667">
        <v>36</v>
      </c>
      <c r="B98" s="898" t="s">
        <v>376</v>
      </c>
      <c r="C98" s="898" t="s">
        <v>659</v>
      </c>
      <c r="D98" s="898" t="s">
        <v>660</v>
      </c>
      <c r="E98" s="896"/>
      <c r="F98" s="892">
        <v>408.15</v>
      </c>
      <c r="G98" s="887"/>
      <c r="H98" s="888"/>
      <c r="I98" s="889"/>
      <c r="J98" s="889"/>
      <c r="K98" s="888"/>
      <c r="L98" s="888"/>
      <c r="M98" s="888"/>
      <c r="N98" s="144">
        <v>300</v>
      </c>
      <c r="O98" s="889"/>
      <c r="P98" s="889"/>
      <c r="Q98" s="889"/>
      <c r="R98" s="890"/>
      <c r="S98" s="143">
        <f t="shared" si="2"/>
        <v>708.15</v>
      </c>
    </row>
    <row r="99" spans="1:21" s="118" customFormat="1" ht="13.8">
      <c r="A99" s="891"/>
      <c r="B99" s="897"/>
      <c r="C99" s="897"/>
      <c r="D99" s="1175" t="s">
        <v>431</v>
      </c>
      <c r="E99" s="1175"/>
      <c r="F99" s="893">
        <f>SUM(F83:F98)</f>
        <v>6500.0599999999995</v>
      </c>
      <c r="G99" s="129">
        <f t="shared" ref="G99:R99" si="3">SUM(G83:G95)</f>
        <v>0</v>
      </c>
      <c r="H99" s="129">
        <f t="shared" si="3"/>
        <v>500</v>
      </c>
      <c r="I99" s="129">
        <f t="shared" si="3"/>
        <v>41166</v>
      </c>
      <c r="J99" s="129">
        <f t="shared" si="3"/>
        <v>2708</v>
      </c>
      <c r="K99" s="129">
        <f t="shared" si="3"/>
        <v>0</v>
      </c>
      <c r="L99" s="129">
        <f t="shared" si="3"/>
        <v>2547.15</v>
      </c>
      <c r="M99" s="129">
        <f t="shared" si="3"/>
        <v>942</v>
      </c>
      <c r="N99" s="129">
        <f>SUM(N83:N98)</f>
        <v>4800</v>
      </c>
      <c r="O99" s="129">
        <f t="shared" si="3"/>
        <v>9479</v>
      </c>
      <c r="P99" s="129">
        <f t="shared" si="3"/>
        <v>0</v>
      </c>
      <c r="Q99" s="129">
        <f t="shared" si="3"/>
        <v>880</v>
      </c>
      <c r="R99" s="129">
        <f t="shared" si="3"/>
        <v>0</v>
      </c>
      <c r="S99" s="129">
        <f t="shared" si="2"/>
        <v>69522.209999999992</v>
      </c>
    </row>
    <row r="100" spans="1:21" s="118" customFormat="1" ht="13.8">
      <c r="A100" s="670"/>
      <c r="B100" s="636"/>
      <c r="C100" s="636"/>
      <c r="D100" s="636"/>
      <c r="E100" s="636"/>
      <c r="F100" s="129"/>
      <c r="G100" s="129"/>
      <c r="H100" s="129"/>
      <c r="I100" s="157"/>
      <c r="J100" s="129"/>
      <c r="K100" s="129"/>
      <c r="L100" s="129"/>
      <c r="M100" s="129"/>
      <c r="N100" s="129"/>
      <c r="O100" s="129"/>
      <c r="P100" s="157"/>
      <c r="Q100" s="157"/>
      <c r="R100" s="129"/>
      <c r="S100" s="129"/>
      <c r="U100" s="183"/>
    </row>
    <row r="101" spans="1:21" s="118" customFormat="1" ht="13.8">
      <c r="A101" s="1173" t="s">
        <v>340</v>
      </c>
      <c r="B101" s="1174"/>
      <c r="C101" s="1174"/>
      <c r="D101" s="1174"/>
      <c r="E101" s="1174"/>
      <c r="F101" s="158">
        <f t="shared" ref="F101:S101" si="4">F35+F99</f>
        <v>14968.67</v>
      </c>
      <c r="G101" s="158">
        <f t="shared" si="4"/>
        <v>500</v>
      </c>
      <c r="H101" s="158">
        <f t="shared" si="4"/>
        <v>29000</v>
      </c>
      <c r="I101" s="158">
        <f t="shared" si="4"/>
        <v>86012</v>
      </c>
      <c r="J101" s="158">
        <f t="shared" si="4"/>
        <v>2708</v>
      </c>
      <c r="K101" s="158">
        <f t="shared" si="4"/>
        <v>440</v>
      </c>
      <c r="L101" s="158">
        <f t="shared" si="4"/>
        <v>3720.65</v>
      </c>
      <c r="M101" s="158">
        <f t="shared" si="4"/>
        <v>4239</v>
      </c>
      <c r="N101" s="158">
        <f t="shared" si="4"/>
        <v>10800</v>
      </c>
      <c r="O101" s="158">
        <f t="shared" si="4"/>
        <v>14086</v>
      </c>
      <c r="P101" s="158">
        <f t="shared" si="4"/>
        <v>0</v>
      </c>
      <c r="Q101" s="158">
        <f t="shared" si="4"/>
        <v>1987.92</v>
      </c>
      <c r="R101" s="158">
        <f t="shared" si="4"/>
        <v>0</v>
      </c>
      <c r="S101" s="158">
        <f t="shared" si="4"/>
        <v>168462.24</v>
      </c>
      <c r="U101" s="183"/>
    </row>
    <row r="102" spans="1:21" s="118" customFormat="1" ht="13.8">
      <c r="O102" s="1182"/>
      <c r="P102" s="1182"/>
      <c r="Q102" s="1182"/>
    </row>
    <row r="103" spans="1:21" s="118" customFormat="1" ht="13.8"/>
    <row r="104" spans="1:21" s="118" customFormat="1" ht="15.6">
      <c r="A104" s="117"/>
      <c r="B104" s="117"/>
      <c r="C104" s="117"/>
      <c r="D104" s="117"/>
      <c r="E104" s="117"/>
      <c r="F104" s="117"/>
      <c r="G104" s="117"/>
      <c r="H104" s="117"/>
      <c r="I104" s="117"/>
    </row>
    <row r="105" spans="1:21" ht="15.6">
      <c r="A105" s="117"/>
      <c r="B105" s="117" t="s">
        <v>248</v>
      </c>
      <c r="C105" s="117"/>
      <c r="D105" s="117"/>
      <c r="E105" s="117"/>
      <c r="F105" s="117"/>
      <c r="G105" s="117" t="s">
        <v>588</v>
      </c>
      <c r="H105" s="117"/>
      <c r="I105" s="117"/>
      <c r="J105" s="159"/>
      <c r="K105" s="159"/>
      <c r="L105" s="159"/>
      <c r="M105" s="159"/>
      <c r="N105" s="159"/>
      <c r="O105" s="159"/>
      <c r="P105" s="159"/>
      <c r="Q105" s="1185"/>
      <c r="R105" s="1185"/>
      <c r="S105" s="159"/>
    </row>
    <row r="106" spans="1:21" ht="15.6">
      <c r="A106" s="117"/>
      <c r="B106" s="117"/>
      <c r="C106" s="117"/>
      <c r="D106" s="117"/>
      <c r="E106" s="117"/>
      <c r="F106" s="117"/>
      <c r="G106" s="117"/>
      <c r="H106" s="117"/>
      <c r="I106" s="117"/>
      <c r="J106" s="159"/>
      <c r="K106" s="159"/>
      <c r="L106" s="159"/>
      <c r="M106" s="159"/>
      <c r="N106" s="159"/>
      <c r="O106" s="159"/>
      <c r="P106" s="159"/>
      <c r="Q106" s="174"/>
      <c r="R106" s="174"/>
      <c r="S106" s="159"/>
    </row>
    <row r="107" spans="1:21" ht="15.6">
      <c r="A107" s="117"/>
      <c r="B107" s="899"/>
      <c r="C107" s="899"/>
      <c r="D107" s="900"/>
      <c r="E107" s="901" t="s">
        <v>433</v>
      </c>
      <c r="F107" s="902">
        <v>304.07</v>
      </c>
      <c r="G107" s="902"/>
      <c r="H107" s="903"/>
      <c r="I107" s="905">
        <v>2910</v>
      </c>
      <c r="J107" s="164"/>
      <c r="K107" s="163"/>
      <c r="L107" s="163"/>
      <c r="M107" s="163"/>
      <c r="N107" s="175">
        <v>100</v>
      </c>
      <c r="O107" s="164"/>
      <c r="P107" s="164">
        <v>1111</v>
      </c>
      <c r="Q107" s="164"/>
      <c r="R107" s="176"/>
      <c r="S107" s="179"/>
    </row>
    <row r="108" spans="1:21" ht="15.6">
      <c r="A108" s="117"/>
      <c r="B108" s="1171" t="s">
        <v>173</v>
      </c>
      <c r="C108" s="1171"/>
      <c r="D108" s="1171"/>
      <c r="E108" s="901" t="s">
        <v>434</v>
      </c>
      <c r="F108" s="902">
        <v>305.64</v>
      </c>
      <c r="G108" s="904" t="s">
        <v>42</v>
      </c>
      <c r="H108" s="905"/>
      <c r="I108" s="905"/>
      <c r="J108" s="164"/>
      <c r="K108" s="164"/>
      <c r="L108" s="177"/>
      <c r="M108" s="164"/>
      <c r="N108" s="164">
        <v>100</v>
      </c>
      <c r="O108" s="164"/>
      <c r="P108" s="164">
        <v>2071</v>
      </c>
      <c r="Q108" s="178"/>
      <c r="R108" s="164"/>
      <c r="S108" s="179"/>
    </row>
    <row r="109" spans="1:21" ht="15.6">
      <c r="A109" s="117"/>
      <c r="B109" s="899" t="s">
        <v>284</v>
      </c>
      <c r="C109" s="900"/>
      <c r="D109" s="900"/>
      <c r="E109" s="901" t="s">
        <v>436</v>
      </c>
      <c r="F109" s="902">
        <v>308.81</v>
      </c>
      <c r="G109" s="1172" t="s">
        <v>634</v>
      </c>
      <c r="H109" s="1172"/>
      <c r="I109" s="905"/>
      <c r="J109" s="164"/>
      <c r="K109" s="164"/>
      <c r="L109" s="164"/>
      <c r="M109" s="164"/>
      <c r="N109" s="164">
        <v>100</v>
      </c>
      <c r="O109" s="164"/>
      <c r="P109" s="178"/>
      <c r="Q109" s="178"/>
      <c r="R109" s="164"/>
      <c r="S109" s="179"/>
    </row>
    <row r="110" spans="1:21" ht="15.6">
      <c r="A110" s="117"/>
      <c r="B110" s="900" t="s">
        <v>409</v>
      </c>
      <c r="C110" s="900"/>
      <c r="D110" s="900"/>
      <c r="E110" s="901" t="s">
        <v>437</v>
      </c>
      <c r="F110" s="902">
        <v>309.48</v>
      </c>
      <c r="G110" s="902"/>
      <c r="H110" s="905"/>
      <c r="I110" s="905">
        <v>3467</v>
      </c>
      <c r="J110" s="164"/>
      <c r="K110" s="164"/>
      <c r="L110" s="164"/>
      <c r="M110" s="164"/>
      <c r="N110" s="164">
        <v>100</v>
      </c>
      <c r="O110" s="178"/>
      <c r="P110" s="178"/>
      <c r="Q110" s="164"/>
      <c r="R110" s="164"/>
      <c r="S110" s="179"/>
    </row>
    <row r="111" spans="1:21" ht="15.6">
      <c r="A111" s="117"/>
      <c r="B111" s="900" t="s">
        <v>213</v>
      </c>
      <c r="C111" s="900"/>
      <c r="D111" s="900"/>
      <c r="E111" s="901" t="s">
        <v>430</v>
      </c>
      <c r="F111" s="902">
        <v>306.41000000000003</v>
      </c>
      <c r="G111" s="902"/>
      <c r="H111" s="905"/>
      <c r="I111" s="164"/>
      <c r="J111" s="164"/>
      <c r="K111" s="164"/>
      <c r="L111" s="164"/>
      <c r="M111" s="164"/>
      <c r="N111" s="175">
        <v>100</v>
      </c>
      <c r="O111" s="179"/>
      <c r="P111" s="179"/>
      <c r="Q111" s="179"/>
      <c r="R111" s="179"/>
      <c r="S111" s="179"/>
    </row>
    <row r="112" spans="1:21" ht="15.6">
      <c r="A112" s="117"/>
      <c r="B112" s="900" t="s">
        <v>410</v>
      </c>
      <c r="C112" s="900"/>
      <c r="D112" s="900"/>
      <c r="E112" s="901" t="s">
        <v>438</v>
      </c>
      <c r="F112" s="902">
        <v>308.23</v>
      </c>
      <c r="G112" s="902"/>
      <c r="H112" s="905"/>
      <c r="I112" s="164">
        <v>3340</v>
      </c>
      <c r="J112" s="164"/>
      <c r="K112" s="164"/>
      <c r="L112" s="164"/>
      <c r="M112" s="164"/>
      <c r="N112" s="175">
        <v>100</v>
      </c>
      <c r="O112" s="179"/>
      <c r="P112" s="179"/>
      <c r="Q112" s="179"/>
      <c r="R112" s="179"/>
      <c r="S112" s="179"/>
    </row>
    <row r="113" spans="1:19" ht="13.8">
      <c r="A113" s="159"/>
      <c r="B113" s="160" t="s">
        <v>439</v>
      </c>
      <c r="C113" s="160"/>
      <c r="D113" s="160"/>
      <c r="E113" s="161" t="s">
        <v>440</v>
      </c>
      <c r="F113" s="162">
        <v>306.79000000000002</v>
      </c>
      <c r="G113" s="162"/>
      <c r="H113" s="163">
        <v>2000</v>
      </c>
      <c r="I113" s="164">
        <v>1940</v>
      </c>
      <c r="J113" s="164">
        <v>1445</v>
      </c>
      <c r="K113" s="163"/>
      <c r="L113" s="163"/>
      <c r="M113" s="163"/>
      <c r="N113" s="175">
        <v>100</v>
      </c>
      <c r="O113" s="164"/>
      <c r="P113" s="179"/>
      <c r="Q113" s="179"/>
      <c r="R113" s="179"/>
      <c r="S113" s="179"/>
    </row>
    <row r="114" spans="1:19" ht="13.8">
      <c r="A114" s="159"/>
      <c r="B114" s="160" t="s">
        <v>236</v>
      </c>
      <c r="C114" s="160"/>
      <c r="D114" s="160"/>
      <c r="E114" s="161" t="s">
        <v>435</v>
      </c>
      <c r="F114" s="162">
        <v>304.36</v>
      </c>
      <c r="G114" s="162"/>
      <c r="H114" s="163"/>
      <c r="I114" s="164"/>
      <c r="J114" s="164"/>
      <c r="K114" s="163"/>
      <c r="L114" s="163"/>
      <c r="M114" s="163"/>
      <c r="N114" s="175">
        <v>100</v>
      </c>
      <c r="O114" s="164"/>
      <c r="P114" s="179"/>
      <c r="Q114" s="179"/>
      <c r="R114" s="179"/>
      <c r="S114" s="179"/>
    </row>
    <row r="115" spans="1:19">
      <c r="A115" s="159"/>
      <c r="B115" s="159"/>
      <c r="C115" s="159"/>
      <c r="D115" s="159"/>
      <c r="E115" s="159"/>
      <c r="F115" s="159"/>
      <c r="G115" s="159"/>
      <c r="H115" s="159"/>
      <c r="I115" s="159"/>
      <c r="J115" s="159"/>
      <c r="K115" s="159"/>
      <c r="L115" s="159"/>
      <c r="M115" s="159"/>
      <c r="N115" s="159"/>
      <c r="O115" s="159"/>
      <c r="P115" s="159"/>
      <c r="Q115" s="159"/>
      <c r="R115" s="159"/>
      <c r="S115" s="159"/>
    </row>
    <row r="116" spans="1:19">
      <c r="A116" s="159"/>
      <c r="B116" s="159"/>
      <c r="C116" s="159"/>
      <c r="D116" s="159"/>
      <c r="E116" s="159"/>
      <c r="F116" s="159"/>
      <c r="G116" s="159"/>
      <c r="H116" s="159"/>
      <c r="I116" s="159"/>
      <c r="J116" s="159"/>
      <c r="K116" s="159"/>
      <c r="L116" s="159"/>
      <c r="M116" s="159"/>
      <c r="N116" s="159"/>
      <c r="O116" s="159"/>
      <c r="P116" s="159"/>
      <c r="Q116" s="159"/>
      <c r="R116" s="159"/>
      <c r="S116" s="159"/>
    </row>
    <row r="117" spans="1:19">
      <c r="A117" s="159"/>
      <c r="B117" s="159"/>
      <c r="C117" s="159"/>
      <c r="D117" s="159"/>
      <c r="E117" s="165"/>
      <c r="F117" s="165"/>
      <c r="G117" s="165"/>
      <c r="H117" s="165"/>
      <c r="I117" s="165"/>
      <c r="J117" s="165"/>
      <c r="K117" s="165"/>
      <c r="L117" s="165"/>
      <c r="M117" s="165"/>
      <c r="N117" s="165"/>
      <c r="O117" s="165"/>
      <c r="P117" s="159"/>
      <c r="Q117" s="159"/>
      <c r="R117" s="159"/>
      <c r="S117" s="159"/>
    </row>
    <row r="118" spans="1:19" ht="20.399999999999999">
      <c r="A118" s="159"/>
      <c r="B118" s="159"/>
      <c r="C118" s="159"/>
      <c r="D118" s="159"/>
      <c r="E118" s="166"/>
      <c r="F118" s="167"/>
      <c r="G118" s="167"/>
      <c r="H118" s="168"/>
      <c r="I118" s="168"/>
      <c r="J118" s="168"/>
      <c r="K118" s="180"/>
      <c r="L118" s="180"/>
      <c r="M118" s="180"/>
      <c r="N118" s="180"/>
      <c r="O118" s="180"/>
      <c r="P118" s="159"/>
      <c r="Q118" s="159"/>
      <c r="R118" s="159"/>
      <c r="S118" s="159"/>
    </row>
    <row r="119" spans="1:19">
      <c r="A119" s="1194"/>
      <c r="B119" s="1194"/>
      <c r="C119" s="1194"/>
      <c r="D119" s="1194"/>
      <c r="E119" s="1194"/>
      <c r="F119" s="1194"/>
      <c r="G119" s="1194"/>
      <c r="H119" s="1194"/>
      <c r="I119" s="1194"/>
      <c r="J119" s="1194"/>
      <c r="K119" s="1194"/>
      <c r="L119" s="1194"/>
      <c r="M119" s="1194"/>
      <c r="N119" s="1194"/>
      <c r="O119" s="1194"/>
      <c r="P119" s="1194"/>
      <c r="Q119" s="1194"/>
      <c r="R119" s="1194"/>
      <c r="S119" s="1194"/>
    </row>
    <row r="120" spans="1:19">
      <c r="A120" s="1193"/>
      <c r="B120" s="1193"/>
      <c r="C120" s="1193"/>
      <c r="D120" s="1193"/>
      <c r="E120" s="1193"/>
      <c r="F120" s="1193"/>
      <c r="G120" s="1193"/>
      <c r="H120" s="1193"/>
      <c r="I120" s="1193"/>
      <c r="J120" s="1193"/>
      <c r="K120" s="1193"/>
      <c r="L120" s="1193"/>
      <c r="M120" s="1193"/>
      <c r="N120" s="1193"/>
      <c r="O120" s="1193"/>
      <c r="P120" s="1193"/>
      <c r="Q120" s="1193"/>
      <c r="R120" s="1193"/>
      <c r="S120" s="1193"/>
    </row>
    <row r="121" spans="1:19">
      <c r="A121" s="1193"/>
      <c r="B121" s="1193"/>
      <c r="C121" s="1193"/>
      <c r="D121" s="1193"/>
      <c r="E121" s="1193"/>
      <c r="F121" s="1193"/>
      <c r="G121" s="1193"/>
      <c r="H121" s="1193"/>
      <c r="I121" s="1193"/>
      <c r="J121" s="1193"/>
      <c r="K121" s="1193"/>
      <c r="L121" s="1193"/>
      <c r="M121" s="1193"/>
      <c r="N121" s="1193"/>
      <c r="O121" s="1193"/>
      <c r="P121" s="1193"/>
      <c r="Q121" s="1193"/>
      <c r="R121" s="1193"/>
      <c r="S121" s="1193"/>
    </row>
    <row r="122" spans="1:19">
      <c r="A122" s="170"/>
      <c r="B122" s="170"/>
      <c r="C122" s="170"/>
      <c r="D122" s="170"/>
      <c r="E122" s="170"/>
      <c r="F122" s="170"/>
      <c r="G122" s="170"/>
      <c r="H122" s="170"/>
      <c r="I122" s="170"/>
      <c r="J122" s="170"/>
      <c r="K122" s="170"/>
      <c r="L122" s="170"/>
      <c r="M122" s="170"/>
      <c r="N122" s="170"/>
      <c r="O122" s="170"/>
      <c r="P122" s="170"/>
      <c r="Q122" s="170"/>
      <c r="R122" s="170"/>
      <c r="S122" s="170"/>
    </row>
    <row r="123" spans="1:19">
      <c r="A123" s="169"/>
      <c r="B123" s="169"/>
      <c r="C123" s="169"/>
      <c r="D123" s="169"/>
      <c r="E123" s="170"/>
      <c r="F123" s="170"/>
      <c r="G123" s="170"/>
      <c r="H123" s="170"/>
      <c r="I123" s="170"/>
      <c r="J123" s="170"/>
      <c r="K123" s="170"/>
      <c r="L123" s="170"/>
      <c r="M123" s="170"/>
      <c r="N123" s="170"/>
      <c r="O123" s="170"/>
      <c r="P123" s="170"/>
      <c r="Q123" s="170"/>
      <c r="R123" s="170"/>
      <c r="S123" s="170"/>
    </row>
    <row r="124" spans="1:19" ht="12.75" customHeight="1">
      <c r="A124" s="1186"/>
      <c r="B124" s="171"/>
      <c r="C124" s="171"/>
      <c r="D124" s="171"/>
      <c r="E124" s="1186"/>
      <c r="F124" s="1186"/>
      <c r="G124" s="1186"/>
      <c r="H124" s="1186"/>
      <c r="I124" s="1189"/>
      <c r="J124" s="1190"/>
      <c r="K124" s="1186"/>
      <c r="L124" s="171"/>
      <c r="M124" s="171"/>
      <c r="N124" s="1186"/>
      <c r="O124" s="1186"/>
      <c r="P124" s="1186"/>
      <c r="Q124" s="1186"/>
      <c r="R124" s="171"/>
      <c r="S124" s="1186"/>
    </row>
    <row r="125" spans="1:19">
      <c r="A125" s="1186"/>
      <c r="B125" s="171"/>
      <c r="C125" s="171"/>
      <c r="D125" s="171"/>
      <c r="E125" s="1186"/>
      <c r="F125" s="1187"/>
      <c r="G125" s="1187"/>
      <c r="H125" s="1187"/>
      <c r="I125" s="1189"/>
      <c r="J125" s="1191"/>
      <c r="K125" s="1187"/>
      <c r="L125" s="172"/>
      <c r="M125" s="172"/>
      <c r="N125" s="1186"/>
      <c r="O125" s="1186"/>
      <c r="P125" s="1187"/>
      <c r="Q125" s="1187"/>
      <c r="R125" s="171"/>
      <c r="S125" s="1186"/>
    </row>
    <row r="126" spans="1:19">
      <c r="A126" s="1186"/>
      <c r="B126" s="171"/>
      <c r="C126" s="171"/>
      <c r="D126" s="171"/>
      <c r="E126" s="1187"/>
      <c r="F126" s="1186"/>
      <c r="G126" s="171"/>
      <c r="H126" s="1188"/>
      <c r="I126" s="1189"/>
      <c r="J126" s="1191"/>
      <c r="K126" s="1187"/>
      <c r="L126" s="172"/>
      <c r="M126" s="172"/>
      <c r="N126" s="1186"/>
      <c r="O126" s="1186"/>
      <c r="P126" s="1187"/>
      <c r="Q126" s="1187"/>
      <c r="R126" s="171"/>
      <c r="S126" s="1186"/>
    </row>
    <row r="127" spans="1:19" ht="13.8">
      <c r="A127" s="1186"/>
      <c r="B127" s="171"/>
      <c r="C127" s="171"/>
      <c r="D127" s="171"/>
      <c r="E127" s="1187"/>
      <c r="F127" s="1186"/>
      <c r="G127" s="171"/>
      <c r="H127" s="1186"/>
      <c r="I127" s="135"/>
      <c r="J127" s="1191"/>
      <c r="K127" s="1187"/>
      <c r="L127" s="172"/>
      <c r="M127" s="172"/>
      <c r="N127" s="1186"/>
      <c r="O127" s="1186"/>
      <c r="P127" s="1187"/>
      <c r="Q127" s="1187"/>
      <c r="R127" s="171"/>
      <c r="S127" s="1186"/>
    </row>
    <row r="128" spans="1:19" ht="13.8">
      <c r="A128" s="135"/>
      <c r="B128" s="135"/>
      <c r="C128" s="135"/>
      <c r="D128" s="135"/>
      <c r="E128" s="131"/>
      <c r="F128" s="132"/>
      <c r="G128" s="132"/>
      <c r="H128" s="133"/>
      <c r="I128" s="133"/>
      <c r="J128" s="151"/>
      <c r="K128" s="154"/>
      <c r="L128" s="154"/>
      <c r="M128" s="154"/>
      <c r="N128" s="181"/>
      <c r="O128" s="133"/>
      <c r="P128" s="151"/>
      <c r="Q128" s="151"/>
      <c r="R128" s="133"/>
      <c r="S128" s="153"/>
    </row>
    <row r="129" spans="1:19" ht="13.8">
      <c r="A129" s="135"/>
      <c r="B129" s="135"/>
      <c r="C129" s="135"/>
      <c r="D129" s="135"/>
      <c r="E129" s="131"/>
      <c r="F129" s="132"/>
      <c r="G129" s="132"/>
      <c r="H129" s="134"/>
      <c r="I129" s="133"/>
      <c r="J129" s="133"/>
      <c r="K129" s="134"/>
      <c r="L129" s="134"/>
      <c r="M129" s="134"/>
      <c r="N129" s="134"/>
      <c r="O129" s="182"/>
      <c r="P129" s="151"/>
      <c r="Q129" s="151"/>
      <c r="R129" s="133"/>
      <c r="S129" s="153"/>
    </row>
    <row r="130" spans="1:19" ht="13.8">
      <c r="A130" s="135"/>
      <c r="B130" s="135"/>
      <c r="C130" s="135"/>
      <c r="D130" s="135"/>
      <c r="E130" s="131"/>
      <c r="F130" s="132"/>
      <c r="G130" s="132"/>
      <c r="H130" s="134"/>
      <c r="I130" s="133"/>
      <c r="J130" s="133"/>
      <c r="K130" s="134"/>
      <c r="L130" s="134"/>
      <c r="M130" s="134"/>
      <c r="N130" s="134"/>
      <c r="O130" s="133"/>
      <c r="P130" s="151"/>
      <c r="Q130" s="151"/>
      <c r="R130" s="133"/>
      <c r="S130" s="153"/>
    </row>
    <row r="131" spans="1:19" ht="13.8">
      <c r="A131" s="135"/>
      <c r="B131" s="135"/>
      <c r="C131" s="135"/>
      <c r="D131" s="135"/>
      <c r="E131" s="131"/>
      <c r="F131" s="132"/>
      <c r="G131" s="132"/>
      <c r="H131" s="134"/>
      <c r="I131" s="133"/>
      <c r="J131" s="133"/>
      <c r="K131" s="154"/>
      <c r="L131" s="154"/>
      <c r="M131" s="154"/>
      <c r="N131" s="150"/>
      <c r="O131" s="134"/>
      <c r="P131" s="151"/>
      <c r="Q131" s="151"/>
      <c r="R131" s="133"/>
      <c r="S131" s="153"/>
    </row>
    <row r="132" spans="1:19" ht="13.8">
      <c r="A132" s="135"/>
      <c r="B132" s="135"/>
      <c r="C132" s="135"/>
      <c r="D132" s="135"/>
      <c r="E132" s="131"/>
      <c r="F132" s="132"/>
      <c r="G132" s="132"/>
      <c r="H132" s="134"/>
      <c r="I132" s="133"/>
      <c r="J132" s="133"/>
      <c r="K132" s="134"/>
      <c r="L132" s="134"/>
      <c r="M132" s="134"/>
      <c r="N132" s="134"/>
      <c r="O132" s="133"/>
      <c r="P132" s="151"/>
      <c r="Q132" s="151"/>
      <c r="R132" s="133"/>
      <c r="S132" s="153"/>
    </row>
    <row r="133" spans="1:19" ht="13.8">
      <c r="A133" s="135"/>
      <c r="B133" s="135"/>
      <c r="C133" s="135"/>
      <c r="D133" s="135"/>
      <c r="E133" s="131"/>
      <c r="F133" s="132"/>
      <c r="G133" s="132"/>
      <c r="H133" s="134"/>
      <c r="I133" s="133"/>
      <c r="J133" s="133"/>
      <c r="K133" s="150"/>
      <c r="L133" s="134"/>
      <c r="M133" s="134"/>
      <c r="N133" s="134"/>
      <c r="O133" s="133"/>
      <c r="P133" s="151"/>
      <c r="Q133" s="151"/>
      <c r="R133" s="133"/>
      <c r="S133" s="153"/>
    </row>
    <row r="134" spans="1:19" ht="13.8">
      <c r="A134" s="135"/>
      <c r="B134" s="135"/>
      <c r="C134" s="135"/>
      <c r="D134" s="135"/>
      <c r="E134" s="131"/>
      <c r="F134" s="132"/>
      <c r="G134" s="132"/>
      <c r="H134" s="134"/>
      <c r="I134" s="133"/>
      <c r="J134" s="133"/>
      <c r="K134" s="134"/>
      <c r="L134" s="134"/>
      <c r="M134" s="134"/>
      <c r="N134" s="151"/>
      <c r="O134" s="151"/>
      <c r="P134" s="151"/>
      <c r="Q134" s="151"/>
      <c r="R134" s="133"/>
      <c r="S134" s="153"/>
    </row>
    <row r="135" spans="1:19" ht="13.8">
      <c r="A135" s="135"/>
      <c r="B135" s="135"/>
      <c r="C135" s="135"/>
      <c r="D135" s="135"/>
      <c r="E135" s="131"/>
      <c r="F135" s="132"/>
      <c r="G135" s="132"/>
      <c r="H135" s="134"/>
      <c r="I135" s="133"/>
      <c r="J135" s="133"/>
      <c r="K135" s="134"/>
      <c r="L135" s="134"/>
      <c r="M135" s="134"/>
      <c r="N135" s="151"/>
      <c r="O135" s="151"/>
      <c r="P135" s="151"/>
      <c r="Q135" s="151"/>
      <c r="R135" s="133"/>
      <c r="S135" s="153"/>
    </row>
    <row r="136" spans="1:19" ht="13.8">
      <c r="A136" s="135"/>
      <c r="B136" s="135"/>
      <c r="C136" s="135"/>
      <c r="D136" s="135"/>
      <c r="E136" s="131"/>
      <c r="F136" s="132"/>
      <c r="G136" s="132"/>
      <c r="H136" s="134"/>
      <c r="I136" s="133"/>
      <c r="J136" s="133"/>
      <c r="K136" s="134"/>
      <c r="L136" s="134"/>
      <c r="M136" s="134"/>
      <c r="N136" s="134"/>
      <c r="O136" s="133"/>
      <c r="P136" s="151"/>
      <c r="Q136" s="151"/>
      <c r="R136" s="133"/>
      <c r="S136" s="153"/>
    </row>
    <row r="137" spans="1:19" ht="13.8">
      <c r="A137" s="135"/>
      <c r="B137" s="135"/>
      <c r="C137" s="135"/>
      <c r="D137" s="135"/>
      <c r="E137" s="131"/>
      <c r="F137" s="132"/>
      <c r="G137" s="132"/>
      <c r="H137" s="134"/>
      <c r="I137" s="133"/>
      <c r="J137" s="133"/>
      <c r="K137" s="134"/>
      <c r="L137" s="134"/>
      <c r="M137" s="134"/>
      <c r="N137" s="150"/>
      <c r="O137" s="133"/>
      <c r="P137" s="151"/>
      <c r="Q137" s="151"/>
      <c r="R137" s="133"/>
      <c r="S137" s="153"/>
    </row>
    <row r="138" spans="1:19" ht="13.8">
      <c r="A138" s="135"/>
      <c r="B138" s="135"/>
      <c r="C138" s="135"/>
      <c r="D138" s="135"/>
      <c r="E138" s="131"/>
      <c r="F138" s="132"/>
      <c r="G138" s="132"/>
      <c r="H138" s="134"/>
      <c r="I138" s="133"/>
      <c r="J138" s="133"/>
      <c r="K138" s="134"/>
      <c r="L138" s="134"/>
      <c r="M138" s="134"/>
      <c r="N138" s="134"/>
      <c r="O138" s="133"/>
      <c r="P138" s="151"/>
      <c r="Q138" s="151"/>
      <c r="R138" s="133"/>
      <c r="S138" s="153"/>
    </row>
    <row r="139" spans="1:19" ht="13.8">
      <c r="A139" s="135"/>
      <c r="B139" s="135"/>
      <c r="C139" s="135"/>
      <c r="D139" s="135"/>
      <c r="E139" s="131"/>
      <c r="F139" s="132"/>
      <c r="G139" s="132"/>
      <c r="H139" s="134"/>
      <c r="I139" s="133"/>
      <c r="J139" s="133"/>
      <c r="K139" s="134"/>
      <c r="L139" s="134"/>
      <c r="M139" s="134"/>
      <c r="N139" s="134"/>
      <c r="O139" s="133"/>
      <c r="P139" s="151"/>
      <c r="Q139" s="151"/>
      <c r="R139" s="133"/>
      <c r="S139" s="153"/>
    </row>
    <row r="140" spans="1:19" ht="13.8">
      <c r="A140" s="135"/>
      <c r="B140" s="135"/>
      <c r="C140" s="135"/>
      <c r="D140" s="135"/>
      <c r="E140" s="131"/>
      <c r="F140" s="132"/>
      <c r="G140" s="132"/>
      <c r="H140" s="134"/>
      <c r="I140" s="133"/>
      <c r="J140" s="133"/>
      <c r="K140" s="134"/>
      <c r="L140" s="134"/>
      <c r="M140" s="134"/>
      <c r="N140" s="134"/>
      <c r="O140" s="133"/>
      <c r="P140" s="151"/>
      <c r="Q140" s="151"/>
      <c r="R140" s="133"/>
      <c r="S140" s="153"/>
    </row>
    <row r="141" spans="1:19" ht="13.8">
      <c r="A141" s="135"/>
      <c r="B141" s="135"/>
      <c r="C141" s="135"/>
      <c r="D141" s="135"/>
      <c r="E141" s="131"/>
      <c r="F141" s="132"/>
      <c r="G141" s="132"/>
      <c r="H141" s="134"/>
      <c r="I141" s="133"/>
      <c r="J141" s="133"/>
      <c r="K141" s="134"/>
      <c r="L141" s="134"/>
      <c r="M141" s="134"/>
      <c r="N141" s="134"/>
      <c r="O141" s="133"/>
      <c r="P141" s="151"/>
      <c r="Q141" s="151"/>
      <c r="R141" s="133"/>
      <c r="S141" s="153"/>
    </row>
    <row r="142" spans="1:19" ht="13.8">
      <c r="A142" s="135"/>
      <c r="B142" s="135"/>
      <c r="C142" s="135"/>
      <c r="D142" s="135"/>
      <c r="E142" s="131"/>
      <c r="F142" s="132"/>
      <c r="G142" s="132"/>
      <c r="H142" s="134"/>
      <c r="I142" s="133"/>
      <c r="J142" s="133"/>
      <c r="K142" s="134"/>
      <c r="L142" s="134"/>
      <c r="M142" s="134"/>
      <c r="N142" s="134"/>
      <c r="O142" s="133"/>
      <c r="P142" s="151"/>
      <c r="Q142" s="151"/>
      <c r="R142" s="133"/>
      <c r="S142" s="153"/>
    </row>
    <row r="143" spans="1:19" ht="13.8">
      <c r="A143" s="135"/>
      <c r="B143" s="135"/>
      <c r="C143" s="135"/>
      <c r="D143" s="135"/>
      <c r="E143" s="131"/>
      <c r="F143" s="132"/>
      <c r="G143" s="132"/>
      <c r="H143" s="134"/>
      <c r="I143" s="133"/>
      <c r="J143" s="133"/>
      <c r="K143" s="134"/>
      <c r="L143" s="134"/>
      <c r="M143" s="134"/>
      <c r="N143" s="150"/>
      <c r="O143" s="133"/>
      <c r="P143" s="151"/>
      <c r="Q143" s="151"/>
      <c r="R143" s="133"/>
      <c r="S143" s="153"/>
    </row>
    <row r="144" spans="1:19" ht="13.8">
      <c r="A144" s="135"/>
      <c r="B144" s="135"/>
      <c r="C144" s="135"/>
      <c r="D144" s="135"/>
      <c r="E144" s="131"/>
      <c r="F144" s="132"/>
      <c r="G144" s="132"/>
      <c r="H144" s="134"/>
      <c r="I144" s="133"/>
      <c r="J144" s="133"/>
      <c r="K144" s="134"/>
      <c r="L144" s="134"/>
      <c r="M144" s="134"/>
      <c r="N144" s="134"/>
      <c r="O144" s="133"/>
      <c r="P144" s="151"/>
      <c r="Q144" s="151"/>
      <c r="R144" s="133"/>
      <c r="S144" s="153"/>
    </row>
    <row r="145" spans="1:19" ht="13.8">
      <c r="A145" s="135"/>
      <c r="B145" s="135"/>
      <c r="C145" s="135"/>
      <c r="D145" s="135"/>
      <c r="E145" s="131"/>
      <c r="F145" s="132"/>
      <c r="G145" s="132"/>
      <c r="H145" s="134"/>
      <c r="I145" s="133"/>
      <c r="J145" s="133"/>
      <c r="K145" s="134"/>
      <c r="L145" s="134"/>
      <c r="M145" s="134"/>
      <c r="N145" s="150"/>
      <c r="O145" s="133"/>
      <c r="P145" s="133"/>
      <c r="Q145" s="151"/>
      <c r="R145" s="133"/>
      <c r="S145" s="153"/>
    </row>
    <row r="146" spans="1:19" ht="13.8">
      <c r="A146" s="135"/>
      <c r="B146" s="135"/>
      <c r="C146" s="135"/>
      <c r="D146" s="135"/>
      <c r="E146" s="131"/>
      <c r="F146" s="132"/>
      <c r="G146" s="132"/>
      <c r="H146" s="134"/>
      <c r="I146" s="133"/>
      <c r="J146" s="133"/>
      <c r="K146" s="134"/>
      <c r="L146" s="134"/>
      <c r="M146" s="134"/>
      <c r="N146" s="150"/>
      <c r="O146" s="133"/>
      <c r="P146" s="151"/>
      <c r="Q146" s="151"/>
      <c r="R146" s="133"/>
      <c r="S146" s="153"/>
    </row>
    <row r="147" spans="1:19" ht="13.8">
      <c r="A147" s="135"/>
      <c r="B147" s="135"/>
      <c r="C147" s="135"/>
      <c r="D147" s="135"/>
      <c r="E147" s="131"/>
      <c r="F147" s="132"/>
      <c r="G147" s="132"/>
      <c r="H147" s="133"/>
      <c r="I147" s="133"/>
      <c r="J147" s="133"/>
      <c r="K147" s="134"/>
      <c r="L147" s="134"/>
      <c r="M147" s="134"/>
      <c r="N147" s="150"/>
      <c r="O147" s="133"/>
      <c r="P147" s="151"/>
      <c r="Q147" s="151"/>
      <c r="R147" s="133"/>
      <c r="S147" s="153"/>
    </row>
    <row r="148" spans="1:19" ht="13.8">
      <c r="A148" s="135"/>
      <c r="B148" s="135"/>
      <c r="C148" s="135"/>
      <c r="D148" s="135"/>
      <c r="E148" s="131"/>
      <c r="F148" s="132"/>
      <c r="G148" s="132"/>
      <c r="H148" s="134"/>
      <c r="I148" s="133"/>
      <c r="J148" s="133"/>
      <c r="K148" s="134"/>
      <c r="L148" s="134"/>
      <c r="M148" s="134"/>
      <c r="N148" s="150"/>
      <c r="O148" s="133"/>
      <c r="P148" s="151"/>
      <c r="Q148" s="151"/>
      <c r="R148" s="133"/>
      <c r="S148" s="153"/>
    </row>
    <row r="149" spans="1:19" ht="13.8">
      <c r="A149" s="135"/>
      <c r="B149" s="135"/>
      <c r="C149" s="135"/>
      <c r="D149" s="135"/>
      <c r="E149" s="131"/>
      <c r="F149" s="132"/>
      <c r="G149" s="132"/>
      <c r="H149" s="134"/>
      <c r="I149" s="133"/>
      <c r="J149" s="133"/>
      <c r="K149" s="134"/>
      <c r="L149" s="134"/>
      <c r="M149" s="134"/>
      <c r="N149" s="150"/>
      <c r="O149" s="133"/>
      <c r="P149" s="151"/>
      <c r="Q149" s="151"/>
      <c r="R149" s="133"/>
      <c r="S149" s="153"/>
    </row>
    <row r="150" spans="1:19" ht="13.8">
      <c r="A150" s="135"/>
      <c r="B150" s="135"/>
      <c r="C150" s="135"/>
      <c r="D150" s="135"/>
      <c r="E150" s="131"/>
      <c r="F150" s="132"/>
      <c r="G150" s="132"/>
      <c r="H150" s="134"/>
      <c r="I150" s="133"/>
      <c r="J150" s="133"/>
      <c r="K150" s="134"/>
      <c r="L150" s="134"/>
      <c r="M150" s="134"/>
      <c r="N150" s="150"/>
      <c r="O150" s="133"/>
      <c r="P150" s="151"/>
      <c r="Q150" s="151"/>
      <c r="R150" s="133"/>
      <c r="S150" s="153"/>
    </row>
    <row r="151" spans="1:19" ht="13.8">
      <c r="A151" s="135"/>
      <c r="B151" s="135"/>
      <c r="C151" s="135"/>
      <c r="D151" s="135"/>
      <c r="E151" s="184"/>
      <c r="F151" s="185"/>
      <c r="G151" s="185"/>
      <c r="H151" s="185"/>
      <c r="I151" s="185"/>
      <c r="J151" s="186"/>
      <c r="K151" s="186"/>
      <c r="L151" s="185"/>
      <c r="M151" s="185"/>
      <c r="N151" s="186"/>
      <c r="O151" s="185"/>
      <c r="P151" s="192"/>
      <c r="Q151" s="192"/>
      <c r="R151" s="193"/>
      <c r="S151" s="185"/>
    </row>
    <row r="155" spans="1:19" ht="25.5" customHeight="1"/>
    <row r="156" spans="1:19" ht="25.5" customHeight="1"/>
    <row r="157" spans="1:19" ht="25.5" customHeight="1"/>
    <row r="158" spans="1:19" ht="25.5" customHeight="1"/>
    <row r="168" spans="1:19">
      <c r="A168" s="1194"/>
      <c r="B168" s="1194"/>
      <c r="C168" s="1194"/>
      <c r="D168" s="1194"/>
      <c r="E168" s="1194"/>
      <c r="F168" s="1194"/>
      <c r="G168" s="1194"/>
      <c r="H168" s="1194"/>
      <c r="I168" s="1194"/>
      <c r="J168" s="1194"/>
      <c r="K168" s="1194"/>
      <c r="L168" s="1194"/>
      <c r="M168" s="1194"/>
      <c r="N168" s="1194"/>
      <c r="O168" s="1194"/>
      <c r="P168" s="1194"/>
      <c r="Q168" s="1194"/>
      <c r="R168" s="1194"/>
      <c r="S168" s="1194"/>
    </row>
    <row r="169" spans="1:19">
      <c r="A169" s="1193"/>
      <c r="B169" s="1193"/>
      <c r="C169" s="1193"/>
      <c r="D169" s="1193"/>
      <c r="E169" s="1193"/>
      <c r="F169" s="1193"/>
      <c r="G169" s="1193"/>
      <c r="H169" s="1193"/>
      <c r="I169" s="1193"/>
      <c r="J169" s="1193"/>
      <c r="K169" s="1193"/>
      <c r="L169" s="1193"/>
      <c r="M169" s="1193"/>
      <c r="N169" s="1193"/>
      <c r="O169" s="1193"/>
      <c r="P169" s="1193"/>
      <c r="Q169" s="1193"/>
      <c r="R169" s="1193"/>
      <c r="S169" s="1193"/>
    </row>
    <row r="170" spans="1:19">
      <c r="A170" s="1193"/>
      <c r="B170" s="1193"/>
      <c r="C170" s="1193"/>
      <c r="D170" s="1193"/>
      <c r="E170" s="1193"/>
      <c r="F170" s="1193"/>
      <c r="G170" s="1193"/>
      <c r="H170" s="1193"/>
      <c r="I170" s="1193"/>
      <c r="J170" s="1193"/>
      <c r="K170" s="1193"/>
      <c r="L170" s="1193"/>
      <c r="M170" s="1193"/>
      <c r="N170" s="1193"/>
      <c r="O170" s="1193"/>
      <c r="P170" s="1193"/>
      <c r="Q170" s="1193"/>
      <c r="R170" s="1193"/>
      <c r="S170" s="1193"/>
    </row>
    <row r="171" spans="1:19">
      <c r="A171" s="169"/>
      <c r="B171" s="169"/>
      <c r="C171" s="169"/>
      <c r="D171" s="169"/>
      <c r="E171" s="170"/>
      <c r="F171" s="170"/>
      <c r="G171" s="170"/>
      <c r="H171" s="170"/>
      <c r="I171" s="170"/>
      <c r="J171" s="170"/>
      <c r="K171" s="170"/>
      <c r="L171" s="170"/>
      <c r="M171" s="170"/>
      <c r="N171" s="170"/>
      <c r="O171" s="170"/>
      <c r="P171" s="170"/>
      <c r="Q171" s="170"/>
      <c r="R171" s="170"/>
      <c r="S171" s="170"/>
    </row>
    <row r="172" spans="1:19" ht="12.75" customHeight="1">
      <c r="A172" s="1186"/>
      <c r="B172" s="171"/>
      <c r="C172" s="171"/>
      <c r="D172" s="171"/>
      <c r="E172" s="1186"/>
      <c r="F172" s="1186"/>
      <c r="G172" s="1186"/>
      <c r="H172" s="1186"/>
      <c r="I172" s="1189"/>
      <c r="J172" s="1190"/>
      <c r="K172" s="1186"/>
      <c r="L172" s="171"/>
      <c r="M172" s="171"/>
      <c r="N172" s="1186"/>
      <c r="O172" s="1186"/>
      <c r="P172" s="1186"/>
      <c r="Q172" s="1186"/>
      <c r="R172" s="171"/>
      <c r="S172" s="1186"/>
    </row>
    <row r="173" spans="1:19">
      <c r="A173" s="1186"/>
      <c r="B173" s="171"/>
      <c r="C173" s="171"/>
      <c r="D173" s="171"/>
      <c r="E173" s="1186"/>
      <c r="F173" s="1187"/>
      <c r="G173" s="1187"/>
      <c r="H173" s="1187"/>
      <c r="I173" s="1189"/>
      <c r="J173" s="1191"/>
      <c r="K173" s="1187"/>
      <c r="L173" s="171"/>
      <c r="M173" s="172"/>
      <c r="N173" s="1186"/>
      <c r="O173" s="1186"/>
      <c r="P173" s="1187"/>
      <c r="Q173" s="1187"/>
      <c r="R173" s="171"/>
      <c r="S173" s="1186"/>
    </row>
    <row r="174" spans="1:19" ht="12.75" customHeight="1">
      <c r="A174" s="1186"/>
      <c r="B174" s="171"/>
      <c r="C174" s="171"/>
      <c r="D174" s="171"/>
      <c r="E174" s="1187"/>
      <c r="F174" s="1186"/>
      <c r="G174" s="171"/>
      <c r="H174" s="1188"/>
      <c r="I174" s="1189"/>
      <c r="J174" s="1191"/>
      <c r="K174" s="1187"/>
      <c r="L174" s="172"/>
      <c r="M174" s="172"/>
      <c r="N174" s="1186"/>
      <c r="O174" s="1186"/>
      <c r="P174" s="1187"/>
      <c r="Q174" s="1187"/>
      <c r="R174" s="171"/>
      <c r="S174" s="1186"/>
    </row>
    <row r="175" spans="1:19" ht="13.8">
      <c r="A175" s="1186"/>
      <c r="B175" s="171"/>
      <c r="C175" s="171"/>
      <c r="D175" s="171"/>
      <c r="E175" s="1187"/>
      <c r="F175" s="1186"/>
      <c r="G175" s="171"/>
      <c r="H175" s="1186"/>
      <c r="I175" s="135"/>
      <c r="J175" s="1191"/>
      <c r="K175" s="1187"/>
      <c r="L175" s="172"/>
      <c r="M175" s="172"/>
      <c r="N175" s="1186"/>
      <c r="O175" s="1186"/>
      <c r="P175" s="1187"/>
      <c r="Q175" s="1187"/>
      <c r="R175" s="171"/>
      <c r="S175" s="1186"/>
    </row>
    <row r="176" spans="1:19" ht="13.8">
      <c r="A176" s="135"/>
      <c r="B176" s="135"/>
      <c r="C176" s="135"/>
      <c r="D176" s="135"/>
      <c r="E176" s="131"/>
      <c r="F176" s="132"/>
      <c r="G176" s="132"/>
      <c r="H176" s="133"/>
      <c r="I176" s="133"/>
      <c r="J176" s="133"/>
      <c r="K176" s="188"/>
      <c r="L176" s="188"/>
      <c r="M176" s="188"/>
      <c r="N176" s="133"/>
      <c r="O176" s="151"/>
      <c r="P176" s="151"/>
      <c r="Q176" s="151"/>
      <c r="R176" s="133"/>
      <c r="S176" s="153"/>
    </row>
    <row r="177" spans="1:19" ht="13.8">
      <c r="A177" s="135"/>
      <c r="B177" s="135"/>
      <c r="C177" s="135"/>
      <c r="D177" s="135"/>
      <c r="E177" s="187"/>
      <c r="F177" s="132"/>
      <c r="G177" s="132"/>
      <c r="H177" s="188"/>
      <c r="I177" s="133"/>
      <c r="J177" s="133"/>
      <c r="K177" s="133"/>
      <c r="L177" s="133"/>
      <c r="M177" s="133"/>
      <c r="N177" s="133"/>
      <c r="O177" s="151"/>
      <c r="P177" s="151"/>
      <c r="Q177" s="151"/>
      <c r="R177" s="133"/>
      <c r="S177" s="153"/>
    </row>
    <row r="178" spans="1:19" ht="13.8">
      <c r="A178" s="135"/>
      <c r="B178" s="135"/>
      <c r="C178" s="135"/>
      <c r="D178" s="135"/>
      <c r="E178" s="131"/>
      <c r="F178" s="132"/>
      <c r="G178" s="132"/>
      <c r="H178" s="133"/>
      <c r="I178" s="133"/>
      <c r="J178" s="151"/>
      <c r="K178" s="133"/>
      <c r="L178" s="133"/>
      <c r="M178" s="133"/>
      <c r="N178" s="133"/>
      <c r="O178" s="151"/>
      <c r="P178" s="151"/>
      <c r="Q178" s="151"/>
      <c r="R178" s="133"/>
      <c r="S178" s="153"/>
    </row>
    <row r="179" spans="1:19" ht="13.8">
      <c r="A179" s="135"/>
      <c r="B179" s="135"/>
      <c r="C179" s="135"/>
      <c r="D179" s="135"/>
      <c r="E179" s="131"/>
      <c r="F179" s="132"/>
      <c r="G179" s="132"/>
      <c r="H179" s="133"/>
      <c r="I179" s="133"/>
      <c r="J179" s="133"/>
      <c r="K179" s="133"/>
      <c r="L179" s="133"/>
      <c r="M179" s="133"/>
      <c r="N179" s="133"/>
      <c r="O179" s="151"/>
      <c r="P179" s="151"/>
      <c r="Q179" s="151"/>
      <c r="R179" s="133"/>
      <c r="S179" s="153"/>
    </row>
    <row r="180" spans="1:19" ht="13.8">
      <c r="A180" s="135"/>
      <c r="B180" s="135"/>
      <c r="C180" s="135"/>
      <c r="D180" s="135"/>
      <c r="E180" s="131"/>
      <c r="F180" s="132"/>
      <c r="G180" s="132"/>
      <c r="H180" s="133"/>
      <c r="I180" s="133"/>
      <c r="J180" s="133"/>
      <c r="K180" s="133"/>
      <c r="L180" s="133"/>
      <c r="M180" s="133"/>
      <c r="N180" s="133"/>
      <c r="O180" s="133"/>
      <c r="P180" s="151"/>
      <c r="Q180" s="151"/>
      <c r="R180" s="133"/>
      <c r="S180" s="153"/>
    </row>
    <row r="181" spans="1:19" ht="13.8">
      <c r="A181" s="135"/>
      <c r="B181" s="135"/>
      <c r="C181" s="135"/>
      <c r="D181" s="135"/>
      <c r="E181" s="131"/>
      <c r="F181" s="132"/>
      <c r="G181" s="132"/>
      <c r="H181" s="133"/>
      <c r="I181" s="133"/>
      <c r="J181" s="133"/>
      <c r="K181" s="188"/>
      <c r="L181" s="188"/>
      <c r="M181" s="188"/>
      <c r="N181" s="133"/>
      <c r="O181" s="151"/>
      <c r="P181" s="151"/>
      <c r="Q181" s="151"/>
      <c r="R181" s="133"/>
      <c r="S181" s="153"/>
    </row>
    <row r="182" spans="1:19" ht="13.8">
      <c r="A182" s="135"/>
      <c r="B182" s="135"/>
      <c r="C182" s="135"/>
      <c r="D182" s="135"/>
      <c r="E182" s="131"/>
      <c r="F182" s="132"/>
      <c r="G182" s="132"/>
      <c r="H182" s="133"/>
      <c r="I182" s="133"/>
      <c r="J182" s="133"/>
      <c r="K182" s="133"/>
      <c r="L182" s="133"/>
      <c r="M182" s="133"/>
      <c r="N182" s="133"/>
      <c r="O182" s="151"/>
      <c r="P182" s="151"/>
      <c r="Q182" s="151"/>
      <c r="R182" s="133"/>
      <c r="S182" s="153"/>
    </row>
    <row r="183" spans="1:19" ht="13.8">
      <c r="A183" s="135"/>
      <c r="B183" s="135"/>
      <c r="C183" s="135"/>
      <c r="D183" s="135"/>
      <c r="E183" s="131"/>
      <c r="F183" s="132"/>
      <c r="G183" s="132"/>
      <c r="H183" s="133"/>
      <c r="I183" s="133"/>
      <c r="J183" s="133"/>
      <c r="K183" s="133"/>
      <c r="L183" s="133"/>
      <c r="M183" s="133"/>
      <c r="N183" s="133"/>
      <c r="O183" s="151"/>
      <c r="P183" s="151"/>
      <c r="Q183" s="151"/>
      <c r="R183" s="133"/>
      <c r="S183" s="153"/>
    </row>
    <row r="184" spans="1:19" ht="13.8">
      <c r="A184" s="135"/>
      <c r="B184" s="135"/>
      <c r="C184" s="135"/>
      <c r="D184" s="135"/>
      <c r="E184" s="131"/>
      <c r="F184" s="132"/>
      <c r="G184" s="132"/>
      <c r="H184" s="133"/>
      <c r="I184" s="133"/>
      <c r="J184" s="133"/>
      <c r="K184" s="133"/>
      <c r="L184" s="133"/>
      <c r="M184" s="133"/>
      <c r="N184" s="133"/>
      <c r="O184" s="133"/>
      <c r="P184" s="151"/>
      <c r="Q184" s="151"/>
      <c r="R184" s="133"/>
      <c r="S184" s="153"/>
    </row>
    <row r="185" spans="1:19" ht="13.8">
      <c r="A185" s="135"/>
      <c r="B185" s="135"/>
      <c r="C185" s="135"/>
      <c r="D185" s="135"/>
      <c r="E185" s="131"/>
      <c r="F185" s="132"/>
      <c r="G185" s="132"/>
      <c r="H185" s="133"/>
      <c r="I185" s="133"/>
      <c r="J185" s="133"/>
      <c r="K185" s="133"/>
      <c r="L185" s="133"/>
      <c r="M185" s="133"/>
      <c r="N185" s="133"/>
      <c r="O185" s="151"/>
      <c r="P185" s="151"/>
      <c r="Q185" s="151"/>
      <c r="R185" s="133"/>
      <c r="S185" s="153"/>
    </row>
    <row r="186" spans="1:19" ht="13.8">
      <c r="A186" s="135"/>
      <c r="B186" s="135"/>
      <c r="C186" s="135"/>
      <c r="D186" s="135"/>
      <c r="E186" s="131"/>
      <c r="F186" s="132"/>
      <c r="G186" s="132"/>
      <c r="H186" s="133"/>
      <c r="I186" s="133"/>
      <c r="J186" s="133"/>
      <c r="K186" s="133"/>
      <c r="L186" s="133"/>
      <c r="M186" s="133"/>
      <c r="N186" s="133"/>
      <c r="O186" s="151"/>
      <c r="P186" s="151"/>
      <c r="Q186" s="151"/>
      <c r="R186" s="133"/>
      <c r="S186" s="153"/>
    </row>
    <row r="187" spans="1:19" ht="13.8">
      <c r="A187" s="135"/>
      <c r="B187" s="135"/>
      <c r="C187" s="135"/>
      <c r="D187" s="135"/>
      <c r="E187" s="131"/>
      <c r="F187" s="132"/>
      <c r="G187" s="132"/>
      <c r="H187" s="133"/>
      <c r="I187" s="133"/>
      <c r="J187" s="133"/>
      <c r="K187" s="133"/>
      <c r="L187" s="133"/>
      <c r="M187" s="133"/>
      <c r="N187" s="133"/>
      <c r="O187" s="151"/>
      <c r="P187" s="151"/>
      <c r="Q187" s="151"/>
      <c r="R187" s="133"/>
      <c r="S187" s="153"/>
    </row>
    <row r="188" spans="1:19" ht="13.8">
      <c r="A188" s="135"/>
      <c r="B188" s="135"/>
      <c r="C188" s="135"/>
      <c r="D188" s="135"/>
      <c r="E188" s="131"/>
      <c r="F188" s="132"/>
      <c r="G188" s="132"/>
      <c r="H188" s="133"/>
      <c r="I188" s="133"/>
      <c r="J188" s="133"/>
      <c r="K188" s="133"/>
      <c r="L188" s="133"/>
      <c r="M188" s="133"/>
      <c r="N188" s="133"/>
      <c r="O188" s="151"/>
      <c r="P188" s="151"/>
      <c r="Q188" s="151"/>
      <c r="R188" s="133"/>
      <c r="S188" s="153"/>
    </row>
    <row r="189" spans="1:19" ht="13.8">
      <c r="A189" s="135"/>
      <c r="B189" s="135"/>
      <c r="C189" s="135"/>
      <c r="D189" s="135"/>
      <c r="E189" s="131"/>
      <c r="F189" s="132"/>
      <c r="G189" s="132"/>
      <c r="H189" s="133"/>
      <c r="I189" s="133"/>
      <c r="J189" s="133"/>
      <c r="K189" s="133"/>
      <c r="L189" s="133"/>
      <c r="M189" s="133"/>
      <c r="N189" s="133"/>
      <c r="O189" s="151"/>
      <c r="P189" s="151"/>
      <c r="Q189" s="151"/>
      <c r="R189" s="133"/>
      <c r="S189" s="153"/>
    </row>
    <row r="190" spans="1:19" ht="13.8">
      <c r="A190" s="135"/>
      <c r="B190" s="135"/>
      <c r="C190" s="135"/>
      <c r="D190" s="135"/>
      <c r="E190" s="131"/>
      <c r="F190" s="132"/>
      <c r="G190" s="132"/>
      <c r="H190" s="133"/>
      <c r="I190" s="133"/>
      <c r="J190" s="133"/>
      <c r="K190" s="133"/>
      <c r="L190" s="133"/>
      <c r="M190" s="133"/>
      <c r="N190" s="133"/>
      <c r="O190" s="151"/>
      <c r="P190" s="151"/>
      <c r="Q190" s="151"/>
      <c r="R190" s="133"/>
      <c r="S190" s="153"/>
    </row>
    <row r="191" spans="1:19" ht="13.8">
      <c r="A191" s="135"/>
      <c r="B191" s="135"/>
      <c r="C191" s="135"/>
      <c r="D191" s="135"/>
      <c r="E191" s="131"/>
      <c r="F191" s="132"/>
      <c r="G191" s="132"/>
      <c r="H191" s="133"/>
      <c r="I191" s="133"/>
      <c r="J191" s="133"/>
      <c r="K191" s="133"/>
      <c r="L191" s="133"/>
      <c r="M191" s="133"/>
      <c r="N191" s="133"/>
      <c r="O191" s="151"/>
      <c r="P191" s="151"/>
      <c r="Q191" s="151"/>
      <c r="R191" s="133"/>
      <c r="S191" s="153"/>
    </row>
    <row r="192" spans="1:19" ht="13.8">
      <c r="A192" s="135"/>
      <c r="B192" s="135"/>
      <c r="C192" s="135"/>
      <c r="D192" s="135"/>
      <c r="E192" s="131"/>
      <c r="F192" s="132"/>
      <c r="G192" s="132"/>
      <c r="H192" s="133"/>
      <c r="I192" s="133"/>
      <c r="J192" s="133"/>
      <c r="K192" s="133"/>
      <c r="L192" s="133"/>
      <c r="M192" s="133"/>
      <c r="N192" s="133"/>
      <c r="O192" s="151"/>
      <c r="P192" s="151"/>
      <c r="Q192" s="151"/>
      <c r="R192" s="133"/>
      <c r="S192" s="153"/>
    </row>
    <row r="193" spans="1:19" ht="13.8">
      <c r="A193" s="135"/>
      <c r="B193" s="135"/>
      <c r="C193" s="135"/>
      <c r="D193" s="135"/>
      <c r="E193" s="187"/>
      <c r="F193" s="189"/>
      <c r="G193" s="189"/>
      <c r="H193" s="133"/>
      <c r="I193" s="133"/>
      <c r="J193" s="133"/>
      <c r="K193" s="133"/>
      <c r="L193" s="133"/>
      <c r="M193" s="133"/>
      <c r="N193" s="133"/>
      <c r="O193" s="151"/>
      <c r="P193" s="151"/>
      <c r="Q193" s="151"/>
      <c r="R193" s="133"/>
      <c r="S193" s="153"/>
    </row>
    <row r="194" spans="1:19" ht="13.8">
      <c r="A194" s="135"/>
      <c r="B194" s="135"/>
      <c r="C194" s="135"/>
      <c r="D194" s="135"/>
      <c r="E194" s="187"/>
      <c r="F194" s="189"/>
      <c r="G194" s="189"/>
      <c r="H194" s="133"/>
      <c r="I194" s="133"/>
      <c r="J194" s="133"/>
      <c r="K194" s="133"/>
      <c r="L194" s="133"/>
      <c r="M194" s="133"/>
      <c r="N194" s="133"/>
      <c r="O194" s="151"/>
      <c r="P194" s="151"/>
      <c r="Q194" s="151"/>
      <c r="R194" s="133"/>
      <c r="S194" s="153"/>
    </row>
    <row r="195" spans="1:19" ht="13.8">
      <c r="A195" s="135"/>
      <c r="B195" s="135"/>
      <c r="C195" s="135"/>
      <c r="D195" s="135"/>
      <c r="E195" s="187"/>
      <c r="F195" s="189"/>
      <c r="G195" s="189"/>
      <c r="H195" s="133"/>
      <c r="I195" s="133"/>
      <c r="J195" s="133"/>
      <c r="K195" s="133"/>
      <c r="L195" s="133"/>
      <c r="M195" s="133"/>
      <c r="N195" s="133"/>
      <c r="O195" s="151"/>
      <c r="P195" s="151"/>
      <c r="Q195" s="151"/>
      <c r="R195" s="133"/>
      <c r="S195" s="153"/>
    </row>
    <row r="196" spans="1:19" ht="13.8">
      <c r="A196" s="135"/>
      <c r="B196" s="135"/>
      <c r="C196" s="135"/>
      <c r="D196" s="135"/>
      <c r="E196" s="187"/>
      <c r="F196" s="189"/>
      <c r="G196" s="189"/>
      <c r="H196" s="133"/>
      <c r="I196" s="133"/>
      <c r="J196" s="133"/>
      <c r="K196" s="133"/>
      <c r="L196" s="133"/>
      <c r="M196" s="133"/>
      <c r="N196" s="133"/>
      <c r="O196" s="151"/>
      <c r="P196" s="151"/>
      <c r="Q196" s="151"/>
      <c r="R196" s="133"/>
      <c r="S196" s="153"/>
    </row>
    <row r="197" spans="1:19" ht="13.8">
      <c r="A197" s="135"/>
      <c r="B197" s="135"/>
      <c r="C197" s="135"/>
      <c r="D197" s="135"/>
      <c r="E197" s="135"/>
      <c r="F197" s="188"/>
      <c r="G197" s="188"/>
      <c r="H197" s="188"/>
      <c r="I197" s="190"/>
      <c r="J197" s="188"/>
      <c r="K197" s="188"/>
      <c r="L197" s="188"/>
      <c r="M197" s="188"/>
      <c r="N197" s="188"/>
      <c r="O197" s="188"/>
      <c r="P197" s="190"/>
      <c r="Q197" s="190"/>
      <c r="R197" s="188"/>
      <c r="S197" s="188"/>
    </row>
    <row r="198" spans="1:19" ht="13.8">
      <c r="A198" s="135"/>
      <c r="B198" s="135"/>
      <c r="C198" s="135"/>
      <c r="D198" s="135"/>
      <c r="E198" s="135"/>
      <c r="F198" s="188"/>
      <c r="G198" s="188"/>
      <c r="H198" s="188"/>
      <c r="I198" s="190"/>
      <c r="J198" s="188"/>
      <c r="K198" s="188"/>
      <c r="L198" s="188"/>
      <c r="M198" s="188"/>
      <c r="N198" s="188"/>
      <c r="O198" s="188"/>
      <c r="P198" s="190"/>
      <c r="Q198" s="190"/>
      <c r="R198" s="188"/>
      <c r="S198" s="188"/>
    </row>
    <row r="199" spans="1:19" ht="13.8">
      <c r="A199" s="1192"/>
      <c r="B199" s="1192"/>
      <c r="C199" s="1192"/>
      <c r="D199" s="1192"/>
      <c r="E199" s="1192"/>
      <c r="F199" s="191"/>
      <c r="G199" s="191"/>
      <c r="H199" s="191"/>
      <c r="I199" s="191"/>
      <c r="J199" s="191"/>
      <c r="K199" s="191"/>
      <c r="L199" s="191"/>
      <c r="M199" s="191"/>
      <c r="N199" s="191"/>
      <c r="O199" s="191"/>
      <c r="P199" s="191"/>
      <c r="Q199" s="191"/>
      <c r="R199" s="191"/>
      <c r="S199" s="191"/>
    </row>
    <row r="200" spans="1:19" ht="13.8">
      <c r="O200" s="1185"/>
      <c r="P200" s="1185"/>
      <c r="Q200" s="1185"/>
    </row>
    <row r="202" spans="1:19" ht="15.6">
      <c r="Q202" s="159"/>
      <c r="R202" s="117"/>
    </row>
    <row r="203" spans="1:19" ht="13.8">
      <c r="Q203" s="1185"/>
      <c r="R203" s="1185"/>
    </row>
  </sheetData>
  <mergeCells count="85">
    <mergeCell ref="I71:M71"/>
    <mergeCell ref="I73:M73"/>
    <mergeCell ref="S124:S127"/>
    <mergeCell ref="S172:S175"/>
    <mergeCell ref="F172:H173"/>
    <mergeCell ref="F124:H125"/>
    <mergeCell ref="F79:H80"/>
    <mergeCell ref="A169:S169"/>
    <mergeCell ref="A170:S170"/>
    <mergeCell ref="Q105:R105"/>
    <mergeCell ref="A119:S119"/>
    <mergeCell ref="A120:S120"/>
    <mergeCell ref="A121:S121"/>
    <mergeCell ref="A168:S168"/>
    <mergeCell ref="A124:A127"/>
    <mergeCell ref="E124:E127"/>
    <mergeCell ref="F126:F127"/>
    <mergeCell ref="H126:H127"/>
    <mergeCell ref="A199:E199"/>
    <mergeCell ref="O200:Q200"/>
    <mergeCell ref="I124:I126"/>
    <mergeCell ref="J124:J127"/>
    <mergeCell ref="K124:K127"/>
    <mergeCell ref="N124:N127"/>
    <mergeCell ref="O124:O127"/>
    <mergeCell ref="P124:P127"/>
    <mergeCell ref="Q124:Q127"/>
    <mergeCell ref="Q203:R203"/>
    <mergeCell ref="A172:A175"/>
    <mergeCell ref="E172:E175"/>
    <mergeCell ref="F174:F175"/>
    <mergeCell ref="H174:H175"/>
    <mergeCell ref="I172:I174"/>
    <mergeCell ref="J172:J175"/>
    <mergeCell ref="K172:K175"/>
    <mergeCell ref="N172:N175"/>
    <mergeCell ref="O172:O175"/>
    <mergeCell ref="P172:P175"/>
    <mergeCell ref="Q172:Q175"/>
    <mergeCell ref="O102:Q102"/>
    <mergeCell ref="A79:A82"/>
    <mergeCell ref="E79:E82"/>
    <mergeCell ref="F81:F82"/>
    <mergeCell ref="H81:H82"/>
    <mergeCell ref="I79:I81"/>
    <mergeCell ref="J79:J82"/>
    <mergeCell ref="K79:K82"/>
    <mergeCell ref="N79:N82"/>
    <mergeCell ref="O79:O82"/>
    <mergeCell ref="P79:P82"/>
    <mergeCell ref="Q79:Q82"/>
    <mergeCell ref="B108:D108"/>
    <mergeCell ref="G109:H109"/>
    <mergeCell ref="Q11:Q14"/>
    <mergeCell ref="A74:S74"/>
    <mergeCell ref="A75:S75"/>
    <mergeCell ref="A76:S76"/>
    <mergeCell ref="A101:E101"/>
    <mergeCell ref="S11:S14"/>
    <mergeCell ref="S79:S82"/>
    <mergeCell ref="F11:H12"/>
    <mergeCell ref="D99:E99"/>
    <mergeCell ref="D79:D82"/>
    <mergeCell ref="C11:C14"/>
    <mergeCell ref="D11:D14"/>
    <mergeCell ref="E65:F65"/>
    <mergeCell ref="E66:F66"/>
    <mergeCell ref="A4:S4"/>
    <mergeCell ref="A5:S5"/>
    <mergeCell ref="A6:S6"/>
    <mergeCell ref="A11:A14"/>
    <mergeCell ref="E11:E14"/>
    <mergeCell ref="F13:F14"/>
    <mergeCell ref="H13:H14"/>
    <mergeCell ref="I11:I13"/>
    <mergeCell ref="J11:J14"/>
    <mergeCell ref="K11:K14"/>
    <mergeCell ref="N11:N14"/>
    <mergeCell ref="O11:O14"/>
    <mergeCell ref="P11:P14"/>
    <mergeCell ref="H70:N70"/>
    <mergeCell ref="H8:L8"/>
    <mergeCell ref="H9:L9"/>
    <mergeCell ref="D35:E35"/>
    <mergeCell ref="H69:M69"/>
  </mergeCells>
  <pageMargins left="0.12" right="0.2" top="0.22" bottom="0.22" header="0.3" footer="0.19"/>
  <pageSetup paperSize="10000"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920"/>
  <sheetViews>
    <sheetView topLeftCell="A217" zoomScale="80" zoomScaleNormal="80" workbookViewId="0">
      <selection activeCell="L239" sqref="L239"/>
    </sheetView>
  </sheetViews>
  <sheetFormatPr defaultColWidth="9" defaultRowHeight="13.2"/>
  <cols>
    <col min="1" max="1" width="17" customWidth="1"/>
    <col min="2" max="2" width="15.109375" customWidth="1"/>
    <col min="3" max="3" width="21.6640625" customWidth="1"/>
    <col min="4" max="4" width="26.6640625" customWidth="1"/>
    <col min="5" max="5" width="14" customWidth="1"/>
    <col min="7" max="7" width="21.109375" customWidth="1"/>
  </cols>
  <sheetData>
    <row r="1" spans="1:7">
      <c r="A1" s="972" t="s">
        <v>0</v>
      </c>
      <c r="B1" s="972"/>
      <c r="C1" s="972"/>
      <c r="D1" s="72"/>
      <c r="E1" s="972" t="s">
        <v>0</v>
      </c>
      <c r="F1" s="972"/>
      <c r="G1" s="972"/>
    </row>
    <row r="2" spans="1:7">
      <c r="A2" s="972" t="s">
        <v>1</v>
      </c>
      <c r="B2" s="972"/>
      <c r="C2" s="972"/>
      <c r="D2" s="72"/>
      <c r="E2" s="972" t="s">
        <v>1</v>
      </c>
      <c r="F2" s="972"/>
      <c r="G2" s="972"/>
    </row>
    <row r="3" spans="1:7">
      <c r="A3" s="972" t="s">
        <v>441</v>
      </c>
      <c r="B3" s="972"/>
      <c r="C3" s="972"/>
      <c r="D3" s="72"/>
      <c r="E3" s="972" t="s">
        <v>441</v>
      </c>
      <c r="F3" s="972"/>
      <c r="G3" s="972"/>
    </row>
    <row r="4" spans="1:7">
      <c r="A4" s="972" t="s">
        <v>342</v>
      </c>
      <c r="B4" s="972"/>
      <c r="C4" s="972"/>
      <c r="D4" s="72"/>
      <c r="E4" s="972" t="s">
        <v>342</v>
      </c>
      <c r="F4" s="972"/>
      <c r="G4" s="972"/>
    </row>
    <row r="5" spans="1:7">
      <c r="A5" s="972" t="s">
        <v>442</v>
      </c>
      <c r="B5" s="972"/>
      <c r="C5" s="972"/>
      <c r="D5" s="72"/>
      <c r="E5" s="972" t="s">
        <v>442</v>
      </c>
      <c r="F5" s="972"/>
      <c r="G5" s="972"/>
    </row>
    <row r="6" spans="1:7">
      <c r="A6" s="72" t="s">
        <v>443</v>
      </c>
      <c r="B6" s="974" t="str">
        <f>'payroll(FEB)'!C10</f>
        <v>ALMIRANTE A. ABAD</v>
      </c>
      <c r="C6" s="976"/>
      <c r="D6" s="72"/>
      <c r="E6" s="72" t="s">
        <v>443</v>
      </c>
      <c r="F6" s="974" t="str">
        <f>'payroll(FEB)'!C11</f>
        <v>RAPHY B. BELARDO</v>
      </c>
      <c r="G6" s="976"/>
    </row>
    <row r="7" spans="1:7">
      <c r="A7" s="72" t="s">
        <v>444</v>
      </c>
      <c r="B7" s="977" t="str">
        <f>'payroll(FEB)'!D10</f>
        <v>PA</v>
      </c>
      <c r="C7" s="978"/>
      <c r="D7" s="72"/>
      <c r="E7" s="72" t="s">
        <v>444</v>
      </c>
      <c r="F7" s="977" t="s">
        <v>445</v>
      </c>
      <c r="G7" s="978"/>
    </row>
    <row r="8" spans="1:7">
      <c r="A8" s="72" t="s">
        <v>446</v>
      </c>
      <c r="B8" s="975" t="s">
        <v>713</v>
      </c>
      <c r="C8" s="975"/>
      <c r="D8" s="72"/>
      <c r="E8" s="72" t="s">
        <v>446</v>
      </c>
      <c r="F8" s="975" t="s">
        <v>713</v>
      </c>
      <c r="G8" s="975"/>
    </row>
    <row r="9" spans="1:7">
      <c r="A9" s="77" t="s">
        <v>447</v>
      </c>
      <c r="B9" s="78"/>
      <c r="C9" s="79">
        <f>'payroll(FEB)'!E10</f>
        <v>132280</v>
      </c>
      <c r="D9" s="77"/>
      <c r="E9" s="77" t="s">
        <v>447</v>
      </c>
      <c r="F9" s="78" t="s">
        <v>22</v>
      </c>
      <c r="G9" s="79">
        <f>'payroll(FEB)'!E11</f>
        <v>81564</v>
      </c>
    </row>
    <row r="10" spans="1:7">
      <c r="A10" s="77" t="s">
        <v>448</v>
      </c>
      <c r="B10" s="78"/>
      <c r="C10" s="80">
        <f>'payroll(FEB)'!AC10+'payroll(FEB)'!AD10+'payroll(FEB)'!AE10</f>
        <v>21000</v>
      </c>
      <c r="D10" s="72"/>
      <c r="E10" s="77" t="s">
        <v>30</v>
      </c>
      <c r="F10" s="81"/>
      <c r="G10" s="79">
        <f>'payroll(FEB)'!AC11</f>
        <v>2000</v>
      </c>
    </row>
    <row r="11" spans="1:7">
      <c r="A11" s="72" t="s">
        <v>449</v>
      </c>
      <c r="B11" s="72"/>
      <c r="C11" s="79"/>
      <c r="D11" s="72"/>
      <c r="E11" s="72" t="s">
        <v>449</v>
      </c>
      <c r="F11" s="72"/>
      <c r="G11" s="72"/>
    </row>
    <row r="12" spans="1:7">
      <c r="A12" s="72" t="s">
        <v>450</v>
      </c>
      <c r="B12" s="82"/>
      <c r="C12" s="83"/>
      <c r="D12" s="72"/>
      <c r="E12" s="72" t="s">
        <v>450</v>
      </c>
      <c r="F12" s="82"/>
      <c r="G12" s="83"/>
    </row>
    <row r="13" spans="1:7">
      <c r="A13" s="72" t="s">
        <v>134</v>
      </c>
      <c r="B13" s="84"/>
      <c r="C13" s="83"/>
      <c r="D13" s="72"/>
      <c r="E13" s="72" t="s">
        <v>134</v>
      </c>
      <c r="F13" s="84"/>
      <c r="G13" s="83"/>
    </row>
    <row r="14" spans="1:7">
      <c r="A14" s="72" t="s">
        <v>451</v>
      </c>
      <c r="B14" s="84"/>
      <c r="C14" s="70"/>
      <c r="D14" s="72"/>
      <c r="E14" s="72" t="s">
        <v>451</v>
      </c>
      <c r="F14" s="84"/>
      <c r="G14" s="70"/>
    </row>
    <row r="15" spans="1:7">
      <c r="A15" s="72" t="s">
        <v>452</v>
      </c>
      <c r="B15" s="84"/>
      <c r="C15" s="83"/>
      <c r="D15" s="72"/>
      <c r="E15" s="72" t="s">
        <v>452</v>
      </c>
      <c r="F15" s="84"/>
      <c r="G15" s="83"/>
    </row>
    <row r="16" spans="1:7">
      <c r="A16" s="72" t="s">
        <v>453</v>
      </c>
      <c r="B16" s="84"/>
      <c r="C16" s="70">
        <f>WTAX!H14</f>
        <v>26527.119999999999</v>
      </c>
      <c r="D16" s="72"/>
      <c r="E16" s="72" t="s">
        <v>453</v>
      </c>
      <c r="F16" s="84"/>
      <c r="G16" s="70">
        <f>WTAX!H15</f>
        <v>12862.52</v>
      </c>
    </row>
    <row r="17" spans="1:12">
      <c r="A17" s="72" t="s">
        <v>454</v>
      </c>
      <c r="B17" s="84"/>
      <c r="C17" s="83"/>
      <c r="D17" s="72"/>
      <c r="E17" s="72" t="s">
        <v>454</v>
      </c>
      <c r="F17" s="84"/>
      <c r="G17" s="83"/>
    </row>
    <row r="18" spans="1:12">
      <c r="A18" s="72" t="s">
        <v>455</v>
      </c>
      <c r="B18" s="84"/>
      <c r="C18" s="72"/>
      <c r="D18" s="72"/>
      <c r="E18" s="72" t="s">
        <v>455</v>
      </c>
      <c r="F18" s="84"/>
      <c r="G18" s="83"/>
    </row>
    <row r="19" spans="1:12">
      <c r="A19" s="72" t="s">
        <v>456</v>
      </c>
      <c r="B19" s="84"/>
      <c r="C19" s="85">
        <f>'PHIC (1)'!W14</f>
        <v>2500</v>
      </c>
      <c r="D19" s="72"/>
      <c r="E19" s="72" t="s">
        <v>456</v>
      </c>
      <c r="F19" s="84"/>
      <c r="G19" s="85">
        <f>'PHIC (1)'!W15</f>
        <v>2039.1</v>
      </c>
    </row>
    <row r="20" spans="1:12">
      <c r="A20" s="72" t="s">
        <v>457</v>
      </c>
      <c r="B20" s="84"/>
      <c r="C20" s="70">
        <f>' gsis'!I16</f>
        <v>11905.199999999999</v>
      </c>
      <c r="D20" s="72"/>
      <c r="E20" s="72" t="s">
        <v>457</v>
      </c>
      <c r="F20" s="84"/>
      <c r="G20" s="70">
        <f>' gsis'!I17</f>
        <v>7340.7599999999993</v>
      </c>
    </row>
    <row r="21" spans="1:12">
      <c r="A21" s="72" t="s">
        <v>104</v>
      </c>
      <c r="B21" s="84"/>
      <c r="C21" s="83">
        <f>'PAG-IBIG'!H14</f>
        <v>2000</v>
      </c>
      <c r="D21" s="72"/>
      <c r="E21" s="72" t="s">
        <v>104</v>
      </c>
      <c r="F21" s="84"/>
      <c r="G21" s="83">
        <f>'PAG-IBIG'!H15</f>
        <v>500</v>
      </c>
    </row>
    <row r="22" spans="1:12">
      <c r="A22" s="72" t="s">
        <v>125</v>
      </c>
      <c r="B22" s="84"/>
      <c r="C22" s="86"/>
      <c r="D22" s="72"/>
      <c r="E22" s="72" t="s">
        <v>125</v>
      </c>
      <c r="F22" s="84"/>
      <c r="G22" s="83"/>
    </row>
    <row r="23" spans="1:12">
      <c r="A23" s="72" t="s">
        <v>124</v>
      </c>
      <c r="B23" s="84"/>
      <c r="C23" s="83"/>
      <c r="D23" s="72"/>
      <c r="E23" s="72" t="s">
        <v>124</v>
      </c>
      <c r="F23" s="84"/>
      <c r="G23" s="83">
        <f>DBP!G19</f>
        <v>14483.61</v>
      </c>
      <c r="L23" t="s">
        <v>22</v>
      </c>
    </row>
    <row r="24" spans="1:12">
      <c r="A24" s="72" t="s">
        <v>458</v>
      </c>
      <c r="B24" s="84"/>
      <c r="C24" s="83">
        <f>CNGWMPC!S15</f>
        <v>26407.68</v>
      </c>
      <c r="D24" s="72"/>
      <c r="E24" s="72" t="s">
        <v>458</v>
      </c>
      <c r="F24" s="84"/>
      <c r="G24" s="83">
        <f>CNGWMPC!S16</f>
        <v>701.11</v>
      </c>
    </row>
    <row r="25" spans="1:12">
      <c r="A25" s="72" t="s">
        <v>459</v>
      </c>
      <c r="B25" s="84"/>
      <c r="C25" s="72"/>
      <c r="D25" s="72"/>
      <c r="E25" s="72" t="s">
        <v>459</v>
      </c>
      <c r="F25" s="84"/>
      <c r="G25" s="83"/>
    </row>
    <row r="26" spans="1:12">
      <c r="A26" s="72" t="s">
        <v>460</v>
      </c>
      <c r="B26" s="84"/>
      <c r="C26" s="72"/>
      <c r="D26" s="72"/>
      <c r="E26" s="72" t="s">
        <v>461</v>
      </c>
      <c r="F26" s="84"/>
      <c r="G26" s="83"/>
    </row>
    <row r="27" spans="1:12">
      <c r="A27" s="72" t="s">
        <v>462</v>
      </c>
      <c r="B27" s="84"/>
      <c r="C27" s="72"/>
      <c r="D27" s="72"/>
      <c r="E27" s="72" t="s">
        <v>463</v>
      </c>
      <c r="F27" s="84"/>
      <c r="G27" s="83">
        <f>' gsis'!$R$17</f>
        <v>12189.13</v>
      </c>
    </row>
    <row r="28" spans="1:12">
      <c r="A28" s="72" t="s">
        <v>464</v>
      </c>
      <c r="B28" s="84"/>
      <c r="C28" s="83"/>
      <c r="D28" s="72"/>
      <c r="E28" s="72" t="s">
        <v>464</v>
      </c>
      <c r="F28" s="84"/>
      <c r="G28" s="86"/>
    </row>
    <row r="29" spans="1:12">
      <c r="A29" s="72" t="s">
        <v>465</v>
      </c>
      <c r="B29" s="84"/>
      <c r="C29" s="87"/>
      <c r="D29" s="72"/>
      <c r="E29" s="72" t="s">
        <v>668</v>
      </c>
      <c r="F29" s="84"/>
      <c r="G29" s="70">
        <f>' gsis'!$S$17</f>
        <v>2333.33</v>
      </c>
    </row>
    <row r="30" spans="1:12">
      <c r="A30" s="72" t="s">
        <v>466</v>
      </c>
      <c r="B30" s="84"/>
      <c r="C30" s="70"/>
      <c r="D30" s="72"/>
      <c r="E30" s="72" t="s">
        <v>467</v>
      </c>
      <c r="F30" s="84"/>
      <c r="G30" s="70">
        <f>' gsis'!$Q$17</f>
        <v>9634.44</v>
      </c>
    </row>
    <row r="31" spans="1:12">
      <c r="A31" s="72" t="s">
        <v>468</v>
      </c>
      <c r="B31" s="84"/>
      <c r="C31" s="70"/>
      <c r="D31" s="72"/>
      <c r="E31" s="72" t="s">
        <v>469</v>
      </c>
      <c r="F31" s="84"/>
      <c r="G31" s="87"/>
    </row>
    <row r="32" spans="1:12">
      <c r="A32" s="77" t="s">
        <v>470</v>
      </c>
      <c r="B32" s="84"/>
      <c r="C32" s="88">
        <f>SUM(C12:C31)</f>
        <v>69340</v>
      </c>
      <c r="D32" s="77"/>
      <c r="E32" s="77" t="s">
        <v>470</v>
      </c>
      <c r="F32" s="84"/>
      <c r="G32" s="88">
        <f>SUM(G12:G31)</f>
        <v>62084.000000000007</v>
      </c>
    </row>
    <row r="33" spans="1:7">
      <c r="A33" s="77" t="s">
        <v>471</v>
      </c>
      <c r="B33" s="84"/>
      <c r="C33" s="80">
        <f>C9+C10-C32</f>
        <v>83940</v>
      </c>
      <c r="D33" s="77"/>
      <c r="E33" s="77" t="s">
        <v>471</v>
      </c>
      <c r="F33" s="82"/>
      <c r="G33" s="80">
        <f>G9+G10-G32</f>
        <v>21479.999999999993</v>
      </c>
    </row>
    <row r="34" spans="1:7">
      <c r="A34" s="77"/>
      <c r="B34" s="72"/>
      <c r="C34" s="80"/>
      <c r="D34" s="77"/>
      <c r="E34" s="77"/>
      <c r="F34" s="72"/>
      <c r="G34" s="80"/>
    </row>
    <row r="35" spans="1:7">
      <c r="A35" s="973" t="s">
        <v>173</v>
      </c>
      <c r="B35" s="973"/>
      <c r="C35" s="973"/>
      <c r="D35" s="77"/>
      <c r="E35" s="973" t="str">
        <f>A35</f>
        <v>MELINDA R. BARCELONA</v>
      </c>
      <c r="F35" s="973"/>
      <c r="G35" s="973"/>
    </row>
    <row r="36" spans="1:7">
      <c r="A36" s="972" t="s">
        <v>472</v>
      </c>
      <c r="B36" s="972"/>
      <c r="C36" s="972"/>
      <c r="D36" s="72"/>
      <c r="E36" s="972" t="str">
        <f>A36</f>
        <v>AO V/PAYROLL CLERK</v>
      </c>
      <c r="F36" s="972"/>
      <c r="G36" s="972"/>
    </row>
    <row r="37" spans="1:7">
      <c r="A37" s="71"/>
      <c r="B37" s="71"/>
      <c r="C37" s="71"/>
      <c r="D37" s="72"/>
      <c r="E37" s="71"/>
      <c r="F37" s="71"/>
      <c r="G37" s="71"/>
    </row>
    <row r="38" spans="1:7">
      <c r="A38" s="71"/>
      <c r="B38" s="71"/>
      <c r="C38" s="71"/>
      <c r="D38" s="72"/>
      <c r="E38" s="71"/>
      <c r="F38" s="71"/>
      <c r="G38" s="71"/>
    </row>
    <row r="39" spans="1:7">
      <c r="A39" s="972" t="s">
        <v>0</v>
      </c>
      <c r="B39" s="972"/>
      <c r="C39" s="972"/>
      <c r="D39" s="72"/>
      <c r="E39" s="972" t="s">
        <v>0</v>
      </c>
      <c r="F39" s="972"/>
      <c r="G39" s="972"/>
    </row>
    <row r="40" spans="1:7">
      <c r="A40" s="972" t="s">
        <v>1</v>
      </c>
      <c r="B40" s="972"/>
      <c r="C40" s="972"/>
      <c r="D40" s="72"/>
      <c r="E40" s="972" t="s">
        <v>1</v>
      </c>
      <c r="F40" s="972"/>
      <c r="G40" s="972"/>
    </row>
    <row r="41" spans="1:7">
      <c r="A41" s="972" t="s">
        <v>441</v>
      </c>
      <c r="B41" s="972"/>
      <c r="C41" s="972"/>
      <c r="D41" s="72"/>
      <c r="E41" s="972" t="s">
        <v>441</v>
      </c>
      <c r="F41" s="972"/>
      <c r="G41" s="972"/>
    </row>
    <row r="42" spans="1:7">
      <c r="A42" s="972" t="s">
        <v>342</v>
      </c>
      <c r="B42" s="972"/>
      <c r="C42" s="972"/>
      <c r="D42" s="72"/>
      <c r="E42" s="972" t="s">
        <v>342</v>
      </c>
      <c r="F42" s="972"/>
      <c r="G42" s="972"/>
    </row>
    <row r="43" spans="1:7">
      <c r="A43" s="972" t="s">
        <v>442</v>
      </c>
      <c r="B43" s="972"/>
      <c r="C43" s="972"/>
      <c r="D43" s="72"/>
      <c r="E43" s="972" t="s">
        <v>442</v>
      </c>
      <c r="F43" s="972"/>
      <c r="G43" s="972"/>
    </row>
    <row r="44" spans="1:7">
      <c r="A44" s="72" t="s">
        <v>443</v>
      </c>
      <c r="B44" s="974" t="str">
        <f>'payroll(FEB)'!C12</f>
        <v>MARIA GISELA C. NASOL</v>
      </c>
      <c r="C44" s="976"/>
      <c r="D44" s="72"/>
      <c r="E44" s="72" t="s">
        <v>443</v>
      </c>
      <c r="F44" s="974" t="str">
        <f>'payroll(FEB)'!C13</f>
        <v>MARLENE V. CERENO</v>
      </c>
      <c r="G44" s="976"/>
    </row>
    <row r="45" spans="1:7">
      <c r="A45" s="72" t="s">
        <v>444</v>
      </c>
      <c r="B45" s="979" t="str">
        <f>'payroll(FEB)'!D12</f>
        <v>SAO</v>
      </c>
      <c r="C45" s="978"/>
      <c r="D45" s="72"/>
      <c r="E45" s="72" t="s">
        <v>444</v>
      </c>
      <c r="F45" s="977" t="str">
        <f>'payroll(FEB)'!D13</f>
        <v>POII</v>
      </c>
      <c r="G45" s="978"/>
    </row>
    <row r="46" spans="1:7">
      <c r="A46" s="72" t="s">
        <v>446</v>
      </c>
      <c r="B46" s="76" t="str">
        <f>B8</f>
        <v>2/1-28/2026</v>
      </c>
      <c r="C46" s="79"/>
      <c r="D46" s="72"/>
      <c r="E46" s="72" t="s">
        <v>446</v>
      </c>
      <c r="F46" s="975" t="str">
        <f>B46</f>
        <v>2/1-28/2026</v>
      </c>
      <c r="G46" s="976"/>
    </row>
    <row r="47" spans="1:7">
      <c r="A47" s="77" t="s">
        <v>447</v>
      </c>
      <c r="B47" s="78"/>
      <c r="C47" s="79">
        <f>'payroll(FEB)'!E12</f>
        <v>78162</v>
      </c>
      <c r="D47" s="77"/>
      <c r="E47" s="77" t="s">
        <v>447</v>
      </c>
      <c r="F47" s="78"/>
      <c r="G47" s="79">
        <f>'payroll(FEB)'!E13</f>
        <v>41413</v>
      </c>
    </row>
    <row r="48" spans="1:7">
      <c r="A48" s="77" t="s">
        <v>30</v>
      </c>
      <c r="B48" s="81"/>
      <c r="C48" s="90">
        <f>'payroll(FEB)'!AC12</f>
        <v>2000</v>
      </c>
      <c r="D48" s="77"/>
      <c r="E48" s="77" t="s">
        <v>30</v>
      </c>
      <c r="F48" s="81"/>
      <c r="G48" s="79">
        <f>'payroll(FEB)'!AC13</f>
        <v>2000</v>
      </c>
    </row>
    <row r="49" spans="1:7">
      <c r="A49" s="72" t="s">
        <v>449</v>
      </c>
      <c r="B49" s="84"/>
      <c r="C49" s="72"/>
      <c r="D49" s="72"/>
      <c r="E49" s="72" t="s">
        <v>449</v>
      </c>
      <c r="F49" s="72"/>
      <c r="G49" s="77"/>
    </row>
    <row r="50" spans="1:7">
      <c r="A50" s="72" t="s">
        <v>450</v>
      </c>
      <c r="B50" s="84"/>
      <c r="C50" s="83"/>
      <c r="D50" s="72"/>
      <c r="E50" s="72" t="s">
        <v>450</v>
      </c>
      <c r="F50" s="82"/>
      <c r="G50" s="83"/>
    </row>
    <row r="51" spans="1:7">
      <c r="A51" s="72" t="s">
        <v>134</v>
      </c>
      <c r="B51" s="84"/>
      <c r="C51" s="85">
        <f>'PAG-IBIG'!J16</f>
        <v>1500</v>
      </c>
      <c r="D51" s="72"/>
      <c r="E51" s="72" t="s">
        <v>134</v>
      </c>
      <c r="F51" s="84"/>
      <c r="G51" s="83"/>
    </row>
    <row r="52" spans="1:7">
      <c r="A52" s="72" t="s">
        <v>451</v>
      </c>
      <c r="B52" s="84"/>
      <c r="C52" s="72"/>
      <c r="D52" s="72"/>
      <c r="E52" s="72" t="s">
        <v>451</v>
      </c>
      <c r="F52" s="84"/>
      <c r="G52" s="72"/>
    </row>
    <row r="53" spans="1:7">
      <c r="A53" s="72" t="s">
        <v>452</v>
      </c>
      <c r="B53" s="84"/>
      <c r="C53" s="70"/>
      <c r="D53" s="72"/>
      <c r="E53" s="72" t="s">
        <v>452</v>
      </c>
      <c r="F53" s="84"/>
      <c r="G53" s="83"/>
    </row>
    <row r="54" spans="1:7">
      <c r="A54" s="72" t="s">
        <v>453</v>
      </c>
      <c r="B54" s="84"/>
      <c r="C54" s="91">
        <f>WTAX!H16</f>
        <v>11950.31</v>
      </c>
      <c r="D54" s="72"/>
      <c r="E54" s="72" t="s">
        <v>453</v>
      </c>
      <c r="F54" s="84"/>
      <c r="G54" s="70">
        <f>WTAX!H17</f>
        <v>3394.69</v>
      </c>
    </row>
    <row r="55" spans="1:7">
      <c r="A55" s="72" t="s">
        <v>454</v>
      </c>
      <c r="B55" s="84"/>
      <c r="C55" s="83"/>
      <c r="D55" s="72"/>
      <c r="E55" s="72" t="s">
        <v>454</v>
      </c>
      <c r="F55" s="84"/>
      <c r="G55" s="83"/>
    </row>
    <row r="56" spans="1:7">
      <c r="A56" s="72" t="s">
        <v>455</v>
      </c>
      <c r="B56" s="84"/>
      <c r="C56" s="72"/>
      <c r="D56" s="72"/>
      <c r="E56" s="72" t="s">
        <v>455</v>
      </c>
      <c r="F56" s="84"/>
      <c r="G56" s="83"/>
    </row>
    <row r="57" spans="1:7">
      <c r="A57" s="72" t="s">
        <v>456</v>
      </c>
      <c r="B57" s="84"/>
      <c r="C57" s="85">
        <f>'PHIC (1)'!W16</f>
        <v>1954.05</v>
      </c>
      <c r="D57" s="72"/>
      <c r="E57" s="72" t="s">
        <v>456</v>
      </c>
      <c r="F57" s="84"/>
      <c r="G57" s="85">
        <f>'PHIC (1)'!W17</f>
        <v>1035.32</v>
      </c>
    </row>
    <row r="58" spans="1:7">
      <c r="A58" s="72" t="s">
        <v>457</v>
      </c>
      <c r="B58" s="84"/>
      <c r="C58" s="70">
        <f>'payroll(FEB)'!F12</f>
        <v>7034.58</v>
      </c>
      <c r="D58" s="72"/>
      <c r="E58" s="72" t="s">
        <v>457</v>
      </c>
      <c r="F58" s="84"/>
      <c r="G58" s="87">
        <f>'payroll(FEB)'!F13</f>
        <v>3727.17</v>
      </c>
    </row>
    <row r="59" spans="1:7">
      <c r="A59" s="72" t="s">
        <v>104</v>
      </c>
      <c r="B59" s="84"/>
      <c r="C59" s="83">
        <f>'PAG-IBIG'!H16</f>
        <v>700</v>
      </c>
      <c r="D59" s="72"/>
      <c r="E59" s="72" t="s">
        <v>104</v>
      </c>
      <c r="F59" s="84"/>
      <c r="G59" s="83">
        <f>'PAG-IBIG'!H17</f>
        <v>200</v>
      </c>
    </row>
    <row r="60" spans="1:7">
      <c r="A60" s="72" t="s">
        <v>473</v>
      </c>
      <c r="B60" s="84"/>
      <c r="C60" s="70"/>
      <c r="D60" s="72"/>
      <c r="E60" s="72" t="s">
        <v>474</v>
      </c>
      <c r="F60" s="84"/>
      <c r="G60" s="83"/>
    </row>
    <row r="61" spans="1:7">
      <c r="A61" s="72" t="s">
        <v>125</v>
      </c>
      <c r="B61" s="84"/>
      <c r="C61" s="87">
        <f>LBP!H20</f>
        <v>15756.7</v>
      </c>
      <c r="D61" s="72"/>
      <c r="E61" s="72" t="s">
        <v>125</v>
      </c>
      <c r="F61" s="84"/>
      <c r="G61" s="83"/>
    </row>
    <row r="62" spans="1:7">
      <c r="A62" s="72" t="s">
        <v>124</v>
      </c>
      <c r="B62" s="84"/>
      <c r="C62" s="83">
        <f>DBP!G17</f>
        <v>2633.38</v>
      </c>
      <c r="D62" s="72"/>
      <c r="E62" s="72" t="s">
        <v>124</v>
      </c>
      <c r="F62" s="84"/>
      <c r="G62" s="83"/>
    </row>
    <row r="63" spans="1:7">
      <c r="A63" s="72" t="s">
        <v>458</v>
      </c>
      <c r="B63" s="84"/>
      <c r="C63" s="87">
        <f>CNGWMPC!S17</f>
        <v>3131.25</v>
      </c>
      <c r="D63" s="72"/>
      <c r="E63" s="72" t="s">
        <v>458</v>
      </c>
      <c r="F63" s="82"/>
      <c r="G63" s="83">
        <f>CNGWMPC!S18</f>
        <v>1301.3600000000001</v>
      </c>
    </row>
    <row r="64" spans="1:7">
      <c r="A64" s="72" t="s">
        <v>459</v>
      </c>
      <c r="B64" s="84"/>
      <c r="C64" s="83"/>
      <c r="D64" s="72"/>
      <c r="E64" s="72" t="s">
        <v>459</v>
      </c>
      <c r="F64" s="84"/>
      <c r="G64" s="83"/>
    </row>
    <row r="65" spans="1:7">
      <c r="A65" s="72" t="s">
        <v>460</v>
      </c>
      <c r="B65" s="84"/>
      <c r="C65" s="83"/>
      <c r="D65" s="72"/>
      <c r="E65" s="72" t="s">
        <v>460</v>
      </c>
      <c r="F65" s="84"/>
      <c r="G65" s="72"/>
    </row>
    <row r="66" spans="1:7">
      <c r="A66" s="72" t="s">
        <v>698</v>
      </c>
      <c r="B66" s="84"/>
      <c r="C66" s="83">
        <f>' gsis'!P18</f>
        <v>1966.67</v>
      </c>
      <c r="D66" s="72"/>
      <c r="E66" s="72" t="s">
        <v>475</v>
      </c>
      <c r="F66" s="82"/>
      <c r="G66" s="83">
        <f>' gsis'!P19</f>
        <v>1966.67</v>
      </c>
    </row>
    <row r="67" spans="1:7">
      <c r="A67" s="72" t="s">
        <v>467</v>
      </c>
      <c r="B67" s="84"/>
      <c r="C67" s="83">
        <f>' gsis'!$Q$18</f>
        <v>9634.44</v>
      </c>
      <c r="D67" s="72"/>
      <c r="E67" s="72" t="s">
        <v>464</v>
      </c>
      <c r="F67" s="84"/>
      <c r="G67" s="86"/>
    </row>
    <row r="68" spans="1:7">
      <c r="A68" s="72" t="s">
        <v>465</v>
      </c>
      <c r="B68" s="84"/>
      <c r="C68" s="70">
        <f>' gsis'!$N$18</f>
        <v>0</v>
      </c>
      <c r="D68" s="72"/>
      <c r="E68" s="72" t="s">
        <v>476</v>
      </c>
      <c r="F68" s="84"/>
      <c r="G68" s="87">
        <f>' gsis'!$R$19</f>
        <v>4408.8999999999996</v>
      </c>
    </row>
    <row r="69" spans="1:7">
      <c r="A69" s="72" t="s">
        <v>477</v>
      </c>
      <c r="B69" s="82"/>
      <c r="C69" s="87">
        <f>' gsis'!$S$18</f>
        <v>2333.33</v>
      </c>
      <c r="D69" s="72"/>
      <c r="E69" s="72" t="s">
        <v>689</v>
      </c>
      <c r="F69" s="84"/>
      <c r="G69" s="70">
        <f>' gsis'!S19</f>
        <v>2333.33</v>
      </c>
    </row>
    <row r="70" spans="1:7">
      <c r="A70" s="72" t="s">
        <v>476</v>
      </c>
      <c r="B70" s="84"/>
      <c r="C70" s="70">
        <f>' gsis'!$R$18</f>
        <v>12177.29</v>
      </c>
      <c r="D70" s="72"/>
      <c r="E70" s="72" t="s">
        <v>478</v>
      </c>
      <c r="F70" s="84"/>
      <c r="G70" s="87">
        <f>' gsis'!$N$19</f>
        <v>655.56</v>
      </c>
    </row>
    <row r="71" spans="1:7">
      <c r="A71" s="72"/>
      <c r="B71" s="84"/>
      <c r="C71" s="83"/>
      <c r="D71" s="72"/>
      <c r="E71" s="72"/>
      <c r="F71" s="84"/>
      <c r="G71" s="87"/>
    </row>
    <row r="72" spans="1:7">
      <c r="A72" s="77" t="s">
        <v>470</v>
      </c>
      <c r="B72" s="84"/>
      <c r="C72" s="88">
        <f>SUM(C51:C70)</f>
        <v>70772</v>
      </c>
      <c r="D72" s="77"/>
      <c r="E72" s="77" t="s">
        <v>470</v>
      </c>
      <c r="F72" s="84"/>
      <c r="G72" s="88">
        <f>SUM(G51:G70)</f>
        <v>19023.000000000004</v>
      </c>
    </row>
    <row r="73" spans="1:7">
      <c r="A73" s="77" t="s">
        <v>471</v>
      </c>
      <c r="B73" s="84"/>
      <c r="C73" s="80">
        <f>C47+C48-C72</f>
        <v>9390</v>
      </c>
      <c r="D73" s="77"/>
      <c r="E73" s="77" t="s">
        <v>471</v>
      </c>
      <c r="F73" s="84"/>
      <c r="G73" s="80">
        <f>G47+G48-G72</f>
        <v>24389.999999999996</v>
      </c>
    </row>
    <row r="74" spans="1:7">
      <c r="A74" s="77"/>
      <c r="B74" s="72"/>
      <c r="C74" s="80"/>
      <c r="D74" s="77"/>
      <c r="E74" s="77"/>
      <c r="F74" s="72"/>
      <c r="G74" s="80"/>
    </row>
    <row r="75" spans="1:7">
      <c r="A75" s="72"/>
      <c r="B75" s="72"/>
      <c r="C75" s="72"/>
      <c r="D75" s="72"/>
      <c r="E75" s="72"/>
      <c r="F75" s="72"/>
      <c r="G75" s="72"/>
    </row>
    <row r="76" spans="1:7">
      <c r="A76" s="973" t="str">
        <f>A35</f>
        <v>MELINDA R. BARCELONA</v>
      </c>
      <c r="B76" s="973"/>
      <c r="C76" s="973"/>
      <c r="D76" s="77"/>
      <c r="E76" s="973" t="str">
        <f>A76</f>
        <v>MELINDA R. BARCELONA</v>
      </c>
      <c r="F76" s="973"/>
      <c r="G76" s="973"/>
    </row>
    <row r="77" spans="1:7">
      <c r="A77" s="972" t="str">
        <f>A36</f>
        <v>AO V/PAYROLL CLERK</v>
      </c>
      <c r="B77" s="972"/>
      <c r="C77" s="972"/>
      <c r="D77" s="72"/>
      <c r="E77" s="972" t="str">
        <f>A77</f>
        <v>AO V/PAYROLL CLERK</v>
      </c>
      <c r="F77" s="972"/>
      <c r="G77" s="972"/>
    </row>
    <row r="78" spans="1:7">
      <c r="A78" s="71"/>
      <c r="B78" s="71"/>
      <c r="C78" s="71"/>
      <c r="D78" s="72"/>
      <c r="E78" s="71"/>
      <c r="F78" s="71"/>
      <c r="G78" s="71"/>
    </row>
    <row r="79" spans="1:7">
      <c r="A79" s="71"/>
      <c r="B79" s="71"/>
      <c r="C79" s="71"/>
      <c r="D79" s="72"/>
      <c r="E79" s="71"/>
      <c r="F79" s="71"/>
      <c r="G79" s="71"/>
    </row>
    <row r="80" spans="1:7">
      <c r="A80" s="71"/>
      <c r="B80" s="71"/>
      <c r="C80" s="71"/>
      <c r="D80" s="72"/>
      <c r="E80" s="71"/>
      <c r="F80" s="71"/>
      <c r="G80" s="71"/>
    </row>
    <row r="81" spans="1:11">
      <c r="A81" s="71"/>
      <c r="B81" s="71"/>
      <c r="C81" s="71"/>
      <c r="D81" s="72"/>
      <c r="E81" s="71"/>
      <c r="F81" s="71"/>
      <c r="G81" s="71"/>
    </row>
    <row r="82" spans="1:11">
      <c r="A82" s="972" t="s">
        <v>0</v>
      </c>
      <c r="B82" s="972"/>
      <c r="C82" s="972"/>
      <c r="D82" s="72"/>
      <c r="E82" s="972" t="s">
        <v>0</v>
      </c>
      <c r="F82" s="972"/>
      <c r="G82" s="972"/>
    </row>
    <row r="83" spans="1:11">
      <c r="A83" s="972" t="s">
        <v>1</v>
      </c>
      <c r="B83" s="972"/>
      <c r="C83" s="972"/>
      <c r="D83" s="72"/>
      <c r="E83" s="972" t="s">
        <v>1</v>
      </c>
      <c r="F83" s="972"/>
      <c r="G83" s="972"/>
    </row>
    <row r="84" spans="1:11">
      <c r="A84" s="972" t="s">
        <v>441</v>
      </c>
      <c r="B84" s="972"/>
      <c r="C84" s="972"/>
      <c r="D84" s="72"/>
      <c r="E84" s="972" t="s">
        <v>441</v>
      </c>
      <c r="F84" s="972"/>
      <c r="G84" s="972"/>
    </row>
    <row r="85" spans="1:11">
      <c r="A85" s="972" t="s">
        <v>342</v>
      </c>
      <c r="B85" s="972"/>
      <c r="C85" s="972"/>
      <c r="D85" s="72"/>
      <c r="E85" s="972" t="s">
        <v>342</v>
      </c>
      <c r="F85" s="972"/>
      <c r="G85" s="972"/>
    </row>
    <row r="86" spans="1:11">
      <c r="A86" s="972" t="s">
        <v>442</v>
      </c>
      <c r="B86" s="972"/>
      <c r="C86" s="972"/>
      <c r="D86" s="72"/>
      <c r="E86" s="972" t="s">
        <v>442</v>
      </c>
      <c r="F86" s="972"/>
      <c r="G86" s="972"/>
    </row>
    <row r="87" spans="1:11">
      <c r="A87" s="72" t="s">
        <v>443</v>
      </c>
      <c r="B87" s="974"/>
      <c r="C87" s="976"/>
      <c r="D87" s="72"/>
      <c r="E87" s="72" t="s">
        <v>443</v>
      </c>
      <c r="F87" s="974" t="str">
        <f>'payroll(FEB)'!C14</f>
        <v>MELINDA R. BARCELONA</v>
      </c>
      <c r="G87" s="976"/>
    </row>
    <row r="88" spans="1:11">
      <c r="A88" s="72" t="s">
        <v>444</v>
      </c>
      <c r="B88" s="974"/>
      <c r="C88" s="976"/>
      <c r="D88" s="72"/>
      <c r="E88" s="72" t="s">
        <v>444</v>
      </c>
      <c r="F88" s="974" t="str">
        <f>'payroll(FEB)'!D14</f>
        <v xml:space="preserve">AO V </v>
      </c>
      <c r="G88" s="976"/>
    </row>
    <row r="89" spans="1:11">
      <c r="A89" s="72" t="s">
        <v>446</v>
      </c>
      <c r="B89" s="975" t="str">
        <f>B46</f>
        <v>2/1-28/2026</v>
      </c>
      <c r="C89" s="975"/>
      <c r="D89" s="72"/>
      <c r="E89" s="72" t="s">
        <v>446</v>
      </c>
      <c r="F89" s="975" t="str">
        <f>B89</f>
        <v>2/1-28/2026</v>
      </c>
      <c r="G89" s="976"/>
    </row>
    <row r="90" spans="1:11">
      <c r="A90" s="77" t="s">
        <v>447</v>
      </c>
      <c r="B90" s="78"/>
      <c r="C90" s="88"/>
      <c r="D90" s="77"/>
      <c r="E90" s="77" t="s">
        <v>447</v>
      </c>
      <c r="F90" s="78"/>
      <c r="G90" s="88">
        <f>'payroll(FEB)'!E14</f>
        <v>51304</v>
      </c>
    </row>
    <row r="91" spans="1:11">
      <c r="A91" s="77" t="s">
        <v>30</v>
      </c>
      <c r="B91" s="77"/>
      <c r="C91" s="80"/>
      <c r="D91" s="77"/>
      <c r="E91" s="77" t="s">
        <v>30</v>
      </c>
      <c r="F91" s="77"/>
      <c r="G91" s="80">
        <f>'payroll(FEB)'!AC14</f>
        <v>2000</v>
      </c>
    </row>
    <row r="92" spans="1:11">
      <c r="A92" s="72" t="s">
        <v>449</v>
      </c>
      <c r="B92" s="84"/>
      <c r="C92" s="70"/>
      <c r="D92" s="72"/>
      <c r="E92" s="72" t="s">
        <v>449</v>
      </c>
      <c r="F92" s="82"/>
      <c r="G92" s="70"/>
    </row>
    <row r="93" spans="1:11">
      <c r="A93" s="72" t="s">
        <v>134</v>
      </c>
      <c r="B93" s="82"/>
      <c r="C93" s="83"/>
      <c r="D93" s="72"/>
      <c r="E93" s="72" t="s">
        <v>134</v>
      </c>
      <c r="F93" s="82"/>
      <c r="G93" s="83"/>
    </row>
    <row r="94" spans="1:11">
      <c r="A94" s="72" t="s">
        <v>451</v>
      </c>
      <c r="B94" s="82"/>
      <c r="C94" s="72"/>
      <c r="D94" s="72"/>
      <c r="E94" s="72" t="s">
        <v>451</v>
      </c>
      <c r="F94" s="82"/>
      <c r="G94" s="72"/>
    </row>
    <row r="95" spans="1:11">
      <c r="A95" s="72" t="s">
        <v>452</v>
      </c>
      <c r="B95" s="82"/>
      <c r="C95" s="83"/>
      <c r="D95" s="72"/>
      <c r="E95" s="72" t="s">
        <v>452</v>
      </c>
      <c r="F95" s="82"/>
      <c r="G95" s="85"/>
      <c r="K95" t="s">
        <v>22</v>
      </c>
    </row>
    <row r="96" spans="1:11">
      <c r="A96" s="72" t="s">
        <v>453</v>
      </c>
      <c r="B96" s="82"/>
      <c r="C96" s="70"/>
      <c r="D96" s="72"/>
      <c r="E96" s="72" t="s">
        <v>453</v>
      </c>
      <c r="F96" s="82"/>
      <c r="G96" s="70">
        <f>WTAX!H18</f>
        <v>5518.71</v>
      </c>
    </row>
    <row r="97" spans="1:7">
      <c r="A97" s="72" t="s">
        <v>479</v>
      </c>
      <c r="B97" s="82"/>
      <c r="C97" s="83"/>
      <c r="D97" s="72"/>
      <c r="E97" s="72" t="s">
        <v>479</v>
      </c>
      <c r="F97" s="82"/>
      <c r="G97" s="83"/>
    </row>
    <row r="98" spans="1:7">
      <c r="A98" s="72" t="s">
        <v>455</v>
      </c>
      <c r="B98" s="82"/>
      <c r="C98" s="72"/>
      <c r="D98" s="72"/>
      <c r="E98" s="72" t="s">
        <v>455</v>
      </c>
      <c r="F98" s="82"/>
      <c r="G98" s="83"/>
    </row>
    <row r="99" spans="1:7">
      <c r="A99" s="72" t="s">
        <v>456</v>
      </c>
      <c r="B99" s="82"/>
      <c r="C99" s="85"/>
      <c r="D99" s="72"/>
      <c r="E99" s="72" t="s">
        <v>456</v>
      </c>
      <c r="F99" s="82"/>
      <c r="G99" s="85">
        <f>'PHIC (1)'!W18</f>
        <v>1282.5999999999999</v>
      </c>
    </row>
    <row r="100" spans="1:7">
      <c r="A100" s="72" t="s">
        <v>457</v>
      </c>
      <c r="B100" s="82"/>
      <c r="C100" s="70"/>
      <c r="D100" s="72"/>
      <c r="E100" s="72" t="s">
        <v>457</v>
      </c>
      <c r="F100" s="82"/>
      <c r="G100" s="70">
        <f>'payroll(FEB)'!F14</f>
        <v>4617.3599999999997</v>
      </c>
    </row>
    <row r="101" spans="1:7">
      <c r="A101" s="72" t="s">
        <v>104</v>
      </c>
      <c r="B101" s="82"/>
      <c r="C101" s="83"/>
      <c r="D101" s="72"/>
      <c r="E101" s="72" t="s">
        <v>104</v>
      </c>
      <c r="F101" s="82"/>
      <c r="G101" s="83">
        <f>'PAG-IBIG'!H18</f>
        <v>400</v>
      </c>
    </row>
    <row r="102" spans="1:7">
      <c r="A102" s="72" t="s">
        <v>111</v>
      </c>
      <c r="B102" s="82"/>
      <c r="C102" s="70"/>
      <c r="D102" s="72"/>
      <c r="E102" s="72" t="s">
        <v>111</v>
      </c>
      <c r="F102" s="82"/>
      <c r="G102" s="70"/>
    </row>
    <row r="103" spans="1:7">
      <c r="A103" s="72" t="s">
        <v>125</v>
      </c>
      <c r="B103" s="82"/>
      <c r="C103" s="83"/>
      <c r="D103" s="72"/>
      <c r="E103" s="72" t="s">
        <v>125</v>
      </c>
      <c r="F103" s="82"/>
      <c r="G103" s="83"/>
    </row>
    <row r="104" spans="1:7">
      <c r="A104" s="72" t="s">
        <v>124</v>
      </c>
      <c r="B104" s="82"/>
      <c r="C104" s="83"/>
      <c r="D104" s="72"/>
      <c r="E104" s="72" t="s">
        <v>124</v>
      </c>
      <c r="F104" s="82"/>
      <c r="G104" s="83">
        <f>DBP!G18</f>
        <v>5266.77</v>
      </c>
    </row>
    <row r="105" spans="1:7">
      <c r="A105" s="72" t="s">
        <v>458</v>
      </c>
      <c r="B105" s="82"/>
      <c r="C105" s="83"/>
      <c r="D105" s="72"/>
      <c r="E105" s="72" t="s">
        <v>458</v>
      </c>
      <c r="F105" s="82"/>
      <c r="G105" s="83">
        <f>CNGWMPC!S19</f>
        <v>2971.19</v>
      </c>
    </row>
    <row r="106" spans="1:7">
      <c r="A106" s="72" t="s">
        <v>459</v>
      </c>
      <c r="B106" s="82"/>
      <c r="C106" s="92"/>
      <c r="D106" s="72"/>
      <c r="E106" s="72" t="s">
        <v>459</v>
      </c>
      <c r="F106" s="82"/>
      <c r="G106" s="83"/>
    </row>
    <row r="107" spans="1:7">
      <c r="A107" s="72" t="s">
        <v>469</v>
      </c>
      <c r="B107" s="82"/>
      <c r="C107" s="92"/>
      <c r="D107" s="72"/>
      <c r="E107" s="72" t="s">
        <v>526</v>
      </c>
      <c r="F107" s="82"/>
      <c r="G107" s="70">
        <f>' gsis'!P20</f>
        <v>1966.67</v>
      </c>
    </row>
    <row r="108" spans="1:7">
      <c r="A108" s="72" t="s">
        <v>463</v>
      </c>
      <c r="B108" s="82"/>
      <c r="C108" s="86"/>
      <c r="D108" s="72"/>
      <c r="E108" s="72" t="s">
        <v>476</v>
      </c>
      <c r="F108" s="82"/>
      <c r="G108" s="83">
        <f>' gsis'!$R$20</f>
        <v>7992.93</v>
      </c>
    </row>
    <row r="109" spans="1:7">
      <c r="A109" s="72" t="s">
        <v>480</v>
      </c>
      <c r="B109" s="82"/>
      <c r="C109" s="83"/>
      <c r="D109" s="72"/>
      <c r="E109" s="72" t="s">
        <v>481</v>
      </c>
      <c r="F109" s="82"/>
      <c r="G109" s="83">
        <f>' gsis'!$Q$20</f>
        <v>9634.44</v>
      </c>
    </row>
    <row r="110" spans="1:7">
      <c r="A110" s="72" t="s">
        <v>465</v>
      </c>
      <c r="B110" s="82"/>
      <c r="C110" s="70"/>
      <c r="D110" s="72"/>
      <c r="E110" s="72" t="s">
        <v>465</v>
      </c>
      <c r="F110" s="82"/>
      <c r="G110" s="70">
        <f>' gsis'!$N$20</f>
        <v>0</v>
      </c>
    </row>
    <row r="111" spans="1:7">
      <c r="A111" s="72" t="s">
        <v>482</v>
      </c>
      <c r="B111" s="82"/>
      <c r="C111" s="72"/>
      <c r="D111" s="72"/>
      <c r="E111" s="72" t="s">
        <v>483</v>
      </c>
      <c r="F111" s="82"/>
      <c r="G111" s="70">
        <f>' gsis'!$M$20</f>
        <v>200</v>
      </c>
    </row>
    <row r="112" spans="1:7">
      <c r="A112" s="72" t="s">
        <v>484</v>
      </c>
      <c r="B112" s="82"/>
      <c r="C112" s="83"/>
      <c r="D112" s="72"/>
      <c r="E112" s="72" t="s">
        <v>485</v>
      </c>
      <c r="F112" s="82"/>
      <c r="G112" s="83">
        <f>' gsis'!$S$20</f>
        <v>2333.33</v>
      </c>
    </row>
    <row r="113" spans="1:7">
      <c r="A113" s="72"/>
      <c r="B113" s="84"/>
      <c r="C113" s="70"/>
      <c r="D113" s="72"/>
      <c r="E113" s="72"/>
      <c r="F113" s="82"/>
      <c r="G113" s="70"/>
    </row>
    <row r="114" spans="1:7">
      <c r="A114" s="77" t="s">
        <v>470</v>
      </c>
      <c r="B114" s="82"/>
      <c r="C114" s="88">
        <f>SUM(B93:C112)</f>
        <v>0</v>
      </c>
      <c r="D114" s="77"/>
      <c r="E114" s="77" t="s">
        <v>470</v>
      </c>
      <c r="F114" s="82"/>
      <c r="G114" s="88">
        <f>SUM(F93:G112)</f>
        <v>42184</v>
      </c>
    </row>
    <row r="115" spans="1:7">
      <c r="A115" s="77" t="s">
        <v>471</v>
      </c>
      <c r="B115" s="82"/>
      <c r="C115" s="80">
        <f>C90+C91-C114</f>
        <v>0</v>
      </c>
      <c r="D115" s="77"/>
      <c r="E115" s="77" t="s">
        <v>471</v>
      </c>
      <c r="F115" s="82"/>
      <c r="G115" s="80">
        <f>G90+G91-G114</f>
        <v>11120</v>
      </c>
    </row>
    <row r="116" spans="1:7">
      <c r="A116" s="77"/>
      <c r="B116" s="72"/>
      <c r="C116" s="88"/>
      <c r="D116" s="77"/>
      <c r="E116" s="77"/>
      <c r="F116" s="72"/>
      <c r="G116" s="88"/>
    </row>
    <row r="117" spans="1:7">
      <c r="A117" s="72"/>
      <c r="B117" s="72"/>
      <c r="C117" s="72"/>
      <c r="D117" s="72"/>
      <c r="E117" s="72"/>
      <c r="F117" s="72"/>
      <c r="G117" s="72"/>
    </row>
    <row r="118" spans="1:7">
      <c r="A118" s="973" t="str">
        <f>A35</f>
        <v>MELINDA R. BARCELONA</v>
      </c>
      <c r="B118" s="973"/>
      <c r="C118" s="973"/>
      <c r="D118" s="77"/>
      <c r="E118" s="973" t="str">
        <f>A35</f>
        <v>MELINDA R. BARCELONA</v>
      </c>
      <c r="F118" s="973"/>
      <c r="G118" s="973"/>
    </row>
    <row r="119" spans="1:7">
      <c r="A119" s="972" t="str">
        <f>A36</f>
        <v>AO V/PAYROLL CLERK</v>
      </c>
      <c r="B119" s="972"/>
      <c r="C119" s="972"/>
      <c r="D119" s="72"/>
      <c r="E119" s="972" t="str">
        <f>A36</f>
        <v>AO V/PAYROLL CLERK</v>
      </c>
      <c r="F119" s="972"/>
      <c r="G119" s="972"/>
    </row>
    <row r="120" spans="1:7">
      <c r="A120" s="71"/>
      <c r="B120" s="71"/>
      <c r="C120" s="71"/>
      <c r="D120" s="72"/>
      <c r="E120" s="71"/>
      <c r="F120" s="71"/>
      <c r="G120" s="71"/>
    </row>
    <row r="121" spans="1:7">
      <c r="A121" s="72"/>
      <c r="B121" s="72"/>
      <c r="C121" s="72"/>
      <c r="D121" s="72"/>
      <c r="E121" s="72"/>
      <c r="F121" s="72"/>
      <c r="G121" s="72"/>
    </row>
    <row r="122" spans="1:7">
      <c r="A122" s="972" t="s">
        <v>0</v>
      </c>
      <c r="B122" s="972"/>
      <c r="C122" s="972"/>
      <c r="D122" s="72"/>
      <c r="E122" s="972" t="s">
        <v>0</v>
      </c>
      <c r="F122" s="972"/>
      <c r="G122" s="972"/>
    </row>
    <row r="123" spans="1:7">
      <c r="A123" s="972" t="s">
        <v>1</v>
      </c>
      <c r="B123" s="972"/>
      <c r="C123" s="972"/>
      <c r="D123" s="72"/>
      <c r="E123" s="972" t="s">
        <v>1</v>
      </c>
      <c r="F123" s="972"/>
      <c r="G123" s="972"/>
    </row>
    <row r="124" spans="1:7">
      <c r="A124" s="972" t="s">
        <v>441</v>
      </c>
      <c r="B124" s="972"/>
      <c r="C124" s="972"/>
      <c r="D124" s="72"/>
      <c r="E124" s="972" t="s">
        <v>441</v>
      </c>
      <c r="F124" s="972"/>
      <c r="G124" s="972"/>
    </row>
    <row r="125" spans="1:7">
      <c r="A125" s="972" t="s">
        <v>342</v>
      </c>
      <c r="B125" s="972"/>
      <c r="C125" s="972"/>
      <c r="D125" s="72"/>
      <c r="E125" s="972" t="s">
        <v>342</v>
      </c>
      <c r="F125" s="972"/>
      <c r="G125" s="972"/>
    </row>
    <row r="126" spans="1:7">
      <c r="A126" s="972" t="s">
        <v>442</v>
      </c>
      <c r="B126" s="972"/>
      <c r="C126" s="972"/>
      <c r="D126" s="72"/>
      <c r="E126" s="972" t="s">
        <v>442</v>
      </c>
      <c r="F126" s="972"/>
      <c r="G126" s="972"/>
    </row>
    <row r="127" spans="1:7">
      <c r="A127" s="72" t="s">
        <v>443</v>
      </c>
      <c r="B127" s="974" t="str">
        <f>'payroll(FEB)'!C15</f>
        <v>ELNORA B. OBUSAN</v>
      </c>
      <c r="C127" s="974"/>
      <c r="D127" s="72"/>
      <c r="E127" s="72" t="s">
        <v>443</v>
      </c>
      <c r="F127" s="974" t="str">
        <f>'payroll(FEB)'!C16</f>
        <v>EDWIN V. DE JESUS</v>
      </c>
      <c r="G127" s="974"/>
    </row>
    <row r="128" spans="1:7">
      <c r="A128" s="72" t="s">
        <v>444</v>
      </c>
      <c r="B128" s="974" t="str">
        <f>'payroll(FEB)'!D15</f>
        <v>COIV</v>
      </c>
      <c r="C128" s="974"/>
      <c r="D128" s="72"/>
      <c r="E128" s="72" t="s">
        <v>444</v>
      </c>
      <c r="F128" s="974" t="str">
        <f>'payroll(FEB)'!D16</f>
        <v>AQII</v>
      </c>
      <c r="G128" s="974"/>
    </row>
    <row r="129" spans="1:7">
      <c r="A129" s="72" t="s">
        <v>446</v>
      </c>
      <c r="B129" s="975" t="str">
        <f>B89</f>
        <v>2/1-28/2026</v>
      </c>
      <c r="C129" s="975"/>
      <c r="D129" s="72"/>
      <c r="E129" s="72" t="s">
        <v>446</v>
      </c>
      <c r="F129" s="975" t="str">
        <f>B129</f>
        <v>2/1-28/2026</v>
      </c>
      <c r="G129" s="975"/>
    </row>
    <row r="130" spans="1:7">
      <c r="A130" s="77" t="s">
        <v>447</v>
      </c>
      <c r="B130" s="78"/>
      <c r="C130" s="88">
        <f>'payroll(FEB)'!E15</f>
        <v>38118</v>
      </c>
      <c r="D130" s="77"/>
      <c r="E130" s="77" t="s">
        <v>447</v>
      </c>
      <c r="F130" s="78"/>
      <c r="G130" s="93">
        <f>'payroll(FEB)'!E16</f>
        <v>41006</v>
      </c>
    </row>
    <row r="131" spans="1:7">
      <c r="A131" s="77" t="s">
        <v>30</v>
      </c>
      <c r="B131" s="81"/>
      <c r="C131" s="80">
        <f>'payroll(FEB)'!AC15</f>
        <v>2000</v>
      </c>
      <c r="D131" s="77"/>
      <c r="E131" s="77" t="s">
        <v>30</v>
      </c>
      <c r="F131" s="78"/>
      <c r="G131" s="80">
        <f>'payroll(FEB)'!AC16</f>
        <v>2000</v>
      </c>
    </row>
    <row r="132" spans="1:7">
      <c r="A132" s="72" t="s">
        <v>449</v>
      </c>
      <c r="B132" s="72"/>
      <c r="C132" s="72"/>
      <c r="D132" s="72"/>
      <c r="E132" s="72" t="s">
        <v>449</v>
      </c>
      <c r="F132" s="72"/>
      <c r="G132" s="72"/>
    </row>
    <row r="133" spans="1:7">
      <c r="A133" s="72" t="s">
        <v>134</v>
      </c>
      <c r="B133" s="82"/>
      <c r="C133" s="83"/>
      <c r="D133" s="72"/>
      <c r="E133" s="72" t="s">
        <v>134</v>
      </c>
      <c r="F133" s="82"/>
      <c r="G133" s="83"/>
    </row>
    <row r="134" spans="1:7">
      <c r="A134" s="72" t="s">
        <v>451</v>
      </c>
      <c r="B134" s="82"/>
      <c r="C134" s="72"/>
      <c r="D134" s="72"/>
      <c r="E134" s="72" t="s">
        <v>451</v>
      </c>
      <c r="F134" s="82"/>
      <c r="G134" s="70"/>
    </row>
    <row r="135" spans="1:7">
      <c r="A135" s="72" t="s">
        <v>452</v>
      </c>
      <c r="B135" s="82"/>
      <c r="C135" s="72"/>
      <c r="D135" s="72"/>
      <c r="E135" s="72" t="s">
        <v>452</v>
      </c>
      <c r="F135" s="82"/>
      <c r="G135" s="83"/>
    </row>
    <row r="136" spans="1:7">
      <c r="A136" s="72" t="s">
        <v>453</v>
      </c>
      <c r="B136" s="82"/>
      <c r="C136" s="70">
        <f>WTAX!H19</f>
        <v>2597.29</v>
      </c>
      <c r="D136" s="72"/>
      <c r="E136" s="72" t="s">
        <v>453</v>
      </c>
      <c r="F136" s="82"/>
      <c r="G136" s="70">
        <f>WTAX!H20</f>
        <v>3307.28</v>
      </c>
    </row>
    <row r="137" spans="1:7">
      <c r="A137" s="72" t="s">
        <v>454</v>
      </c>
      <c r="B137" s="82"/>
      <c r="C137" s="83"/>
      <c r="D137" s="72"/>
      <c r="E137" s="72" t="s">
        <v>454</v>
      </c>
      <c r="F137" s="82"/>
      <c r="G137" s="83"/>
    </row>
    <row r="138" spans="1:7">
      <c r="A138" s="72" t="s">
        <v>455</v>
      </c>
      <c r="B138" s="82"/>
      <c r="C138" s="83"/>
      <c r="D138" s="72"/>
      <c r="E138" s="72" t="s">
        <v>455</v>
      </c>
      <c r="F138" s="82"/>
      <c r="G138" s="72"/>
    </row>
    <row r="139" spans="1:7">
      <c r="A139" s="72" t="s">
        <v>456</v>
      </c>
      <c r="B139" s="82"/>
      <c r="C139" s="85">
        <f>'PHIC (1)'!W19</f>
        <v>952.95</v>
      </c>
      <c r="D139" s="72"/>
      <c r="E139" s="72" t="s">
        <v>456</v>
      </c>
      <c r="F139" s="82"/>
      <c r="G139" s="85">
        <f>'PHIC (1)'!W20</f>
        <v>1025.1500000000001</v>
      </c>
    </row>
    <row r="140" spans="1:7">
      <c r="A140" s="72" t="s">
        <v>457</v>
      </c>
      <c r="B140" s="82"/>
      <c r="C140" s="70">
        <f>'payroll(FEB)'!F15</f>
        <v>3430.62</v>
      </c>
      <c r="D140" s="72"/>
      <c r="E140" s="72" t="s">
        <v>457</v>
      </c>
      <c r="F140" s="82"/>
      <c r="G140" s="70">
        <f>'payroll(FEB)'!F16</f>
        <v>3690.54</v>
      </c>
    </row>
    <row r="141" spans="1:7">
      <c r="A141" s="72" t="s">
        <v>104</v>
      </c>
      <c r="B141" s="82"/>
      <c r="C141" s="83">
        <f>'PAG-IBIG'!H19</f>
        <v>500</v>
      </c>
      <c r="D141" s="72"/>
      <c r="E141" s="72" t="s">
        <v>104</v>
      </c>
      <c r="F141" s="82"/>
      <c r="G141" s="83">
        <f>'PAG-IBIG'!H20</f>
        <v>200</v>
      </c>
    </row>
    <row r="142" spans="1:7">
      <c r="A142" s="72" t="s">
        <v>111</v>
      </c>
      <c r="B142" s="82"/>
      <c r="C142" s="70"/>
      <c r="D142" s="72"/>
      <c r="E142" s="72" t="s">
        <v>111</v>
      </c>
      <c r="F142" s="82"/>
      <c r="G142" s="70"/>
    </row>
    <row r="143" spans="1:7">
      <c r="A143" s="72" t="s">
        <v>125</v>
      </c>
      <c r="B143" s="82"/>
      <c r="C143" s="85"/>
      <c r="D143" s="72"/>
      <c r="E143" s="72" t="s">
        <v>125</v>
      </c>
      <c r="F143" s="82"/>
      <c r="G143" s="83">
        <f>LBP!H17</f>
        <v>16413.23</v>
      </c>
    </row>
    <row r="144" spans="1:7">
      <c r="A144" s="72" t="s">
        <v>124</v>
      </c>
      <c r="B144" s="82"/>
      <c r="C144" s="83">
        <f>DBP!G16</f>
        <v>7900.15</v>
      </c>
      <c r="D144" s="72"/>
      <c r="E144" s="72" t="s">
        <v>124</v>
      </c>
      <c r="F144" s="82"/>
      <c r="G144" s="83"/>
    </row>
    <row r="145" spans="1:7">
      <c r="A145" s="72" t="s">
        <v>458</v>
      </c>
      <c r="B145" s="82"/>
      <c r="C145" s="83">
        <f>CNGWMPC!S20</f>
        <v>6756.95</v>
      </c>
      <c r="D145" s="72"/>
      <c r="E145" s="72" t="s">
        <v>458</v>
      </c>
      <c r="F145" s="82"/>
      <c r="G145" s="83">
        <f>CNGWMPC!S21</f>
        <v>707.41000000000008</v>
      </c>
    </row>
    <row r="146" spans="1:7">
      <c r="A146" s="72" t="s">
        <v>459</v>
      </c>
      <c r="B146" s="82"/>
      <c r="C146" s="83"/>
      <c r="D146" s="72"/>
      <c r="E146" s="72" t="s">
        <v>486</v>
      </c>
      <c r="F146" s="82"/>
      <c r="G146" s="83"/>
    </row>
    <row r="147" spans="1:7">
      <c r="A147" s="72" t="s">
        <v>467</v>
      </c>
      <c r="B147" s="82"/>
      <c r="C147" s="70"/>
      <c r="D147" s="72"/>
      <c r="E147" s="72" t="s">
        <v>460</v>
      </c>
      <c r="F147" s="82"/>
      <c r="G147" s="83"/>
    </row>
    <row r="148" spans="1:7">
      <c r="A148" s="72" t="s">
        <v>476</v>
      </c>
      <c r="B148" s="82"/>
      <c r="C148" s="83">
        <f>' gsis'!R21</f>
        <v>6298.92</v>
      </c>
      <c r="D148" s="72"/>
      <c r="E148" s="72" t="s">
        <v>496</v>
      </c>
      <c r="F148" s="82"/>
      <c r="G148" s="83">
        <f>' gsis'!P22</f>
        <v>1966.67</v>
      </c>
    </row>
    <row r="149" spans="1:7">
      <c r="A149" s="72" t="s">
        <v>464</v>
      </c>
      <c r="B149" s="82"/>
      <c r="C149" s="86"/>
      <c r="D149" s="72"/>
      <c r="E149" s="72" t="s">
        <v>464</v>
      </c>
      <c r="F149" s="82"/>
      <c r="G149" s="83"/>
    </row>
    <row r="150" spans="1:7">
      <c r="A150" s="72" t="s">
        <v>465</v>
      </c>
      <c r="B150" s="82"/>
      <c r="C150" s="83">
        <f>' gsis'!N21</f>
        <v>1311.12</v>
      </c>
      <c r="D150" s="72"/>
      <c r="E150" s="72" t="s">
        <v>463</v>
      </c>
      <c r="F150" s="82"/>
      <c r="G150" s="83">
        <f>' gsis'!$R$22</f>
        <v>6109.05</v>
      </c>
    </row>
    <row r="151" spans="1:7">
      <c r="A151" s="72" t="s">
        <v>680</v>
      </c>
      <c r="B151" s="82"/>
      <c r="C151" s="85">
        <f>' gsis'!M21</f>
        <v>200</v>
      </c>
      <c r="D151" s="72"/>
      <c r="E151" s="72" t="s">
        <v>485</v>
      </c>
      <c r="F151" s="82"/>
      <c r="G151" s="70">
        <f>' gsis'!$S$22</f>
        <v>1866.67</v>
      </c>
    </row>
    <row r="152" spans="1:7">
      <c r="A152" s="72" t="s">
        <v>489</v>
      </c>
      <c r="B152" s="82"/>
      <c r="C152" s="70"/>
      <c r="D152" s="72"/>
      <c r="E152" s="72" t="s">
        <v>490</v>
      </c>
      <c r="F152" s="82"/>
      <c r="G152" s="70">
        <f>' gsis'!$N$22</f>
        <v>0</v>
      </c>
    </row>
    <row r="153" spans="1:7">
      <c r="A153" s="72"/>
      <c r="B153" s="84"/>
      <c r="C153" s="70"/>
      <c r="D153" s="72"/>
      <c r="E153" s="72"/>
      <c r="F153" s="82"/>
      <c r="G153" s="70"/>
    </row>
    <row r="154" spans="1:7">
      <c r="A154" s="77" t="s">
        <v>470</v>
      </c>
      <c r="B154" s="82"/>
      <c r="C154" s="88">
        <f>SUM(B133:C152)</f>
        <v>29947.999999999996</v>
      </c>
      <c r="D154" s="77"/>
      <c r="E154" s="77" t="s">
        <v>470</v>
      </c>
      <c r="F154" s="82"/>
      <c r="G154" s="88">
        <f>SUM(F133:G152)</f>
        <v>35286</v>
      </c>
    </row>
    <row r="155" spans="1:7">
      <c r="A155" s="77" t="s">
        <v>471</v>
      </c>
      <c r="B155" s="82"/>
      <c r="C155" s="80">
        <f>C130+C131-C154</f>
        <v>10170.000000000004</v>
      </c>
      <c r="D155" s="77"/>
      <c r="E155" s="77" t="s">
        <v>471</v>
      </c>
      <c r="F155" s="82"/>
      <c r="G155" s="80">
        <f>G130+G131-G154</f>
        <v>7720</v>
      </c>
    </row>
    <row r="156" spans="1:7">
      <c r="A156" s="77"/>
      <c r="B156" s="77"/>
      <c r="C156" s="77"/>
      <c r="D156" s="77"/>
      <c r="E156" s="77"/>
      <c r="F156" s="77"/>
      <c r="G156" s="77"/>
    </row>
    <row r="157" spans="1:7">
      <c r="A157" s="72"/>
      <c r="B157" s="72"/>
      <c r="C157" s="72"/>
      <c r="D157" s="72"/>
      <c r="E157" s="72"/>
      <c r="F157" s="72"/>
      <c r="G157" s="72"/>
    </row>
    <row r="158" spans="1:7">
      <c r="A158" s="973" t="str">
        <f>A118</f>
        <v>MELINDA R. BARCELONA</v>
      </c>
      <c r="B158" s="973"/>
      <c r="C158" s="973"/>
      <c r="D158" s="77"/>
      <c r="E158" s="973" t="str">
        <f>A158</f>
        <v>MELINDA R. BARCELONA</v>
      </c>
      <c r="F158" s="973"/>
      <c r="G158" s="973"/>
    </row>
    <row r="159" spans="1:7">
      <c r="A159" s="972" t="str">
        <f>A119</f>
        <v>AO V/PAYROLL CLERK</v>
      </c>
      <c r="B159" s="972"/>
      <c r="C159" s="972"/>
      <c r="D159" s="72"/>
      <c r="E159" s="972" t="str">
        <f>A159</f>
        <v>AO V/PAYROLL CLERK</v>
      </c>
      <c r="F159" s="972"/>
      <c r="G159" s="972"/>
    </row>
    <row r="160" spans="1:7">
      <c r="A160" s="71"/>
      <c r="B160" s="71"/>
      <c r="C160" s="71"/>
      <c r="D160" s="72"/>
      <c r="E160" s="71"/>
      <c r="F160" s="71"/>
      <c r="G160" s="71"/>
    </row>
    <row r="161" spans="1:10">
      <c r="A161" s="71"/>
      <c r="B161" s="71"/>
      <c r="C161" s="71"/>
      <c r="D161" s="72"/>
      <c r="E161" s="71"/>
      <c r="F161" s="71"/>
      <c r="G161" s="71"/>
    </row>
    <row r="162" spans="1:10">
      <c r="A162" s="972" t="s">
        <v>0</v>
      </c>
      <c r="B162" s="972"/>
      <c r="C162" s="972"/>
      <c r="D162" s="72"/>
      <c r="E162" s="972" t="s">
        <v>0</v>
      </c>
      <c r="F162" s="972"/>
      <c r="G162" s="972"/>
    </row>
    <row r="163" spans="1:10">
      <c r="A163" s="972" t="s">
        <v>1</v>
      </c>
      <c r="B163" s="972"/>
      <c r="C163" s="972"/>
      <c r="D163" s="72"/>
      <c r="E163" s="972" t="s">
        <v>1</v>
      </c>
      <c r="F163" s="972"/>
      <c r="G163" s="972"/>
    </row>
    <row r="164" spans="1:10">
      <c r="A164" s="972" t="s">
        <v>441</v>
      </c>
      <c r="B164" s="972"/>
      <c r="C164" s="972"/>
      <c r="D164" s="72"/>
      <c r="E164" s="972" t="s">
        <v>441</v>
      </c>
      <c r="F164" s="972"/>
      <c r="G164" s="972"/>
    </row>
    <row r="165" spans="1:10">
      <c r="A165" s="972" t="s">
        <v>342</v>
      </c>
      <c r="B165" s="972"/>
      <c r="C165" s="972"/>
      <c r="D165" s="72"/>
      <c r="E165" s="972" t="s">
        <v>342</v>
      </c>
      <c r="F165" s="972"/>
      <c r="G165" s="972"/>
    </row>
    <row r="166" spans="1:10">
      <c r="A166" s="972" t="s">
        <v>442</v>
      </c>
      <c r="B166" s="972"/>
      <c r="C166" s="972"/>
      <c r="D166" s="72"/>
      <c r="E166" s="972" t="s">
        <v>442</v>
      </c>
      <c r="F166" s="972"/>
      <c r="G166" s="972"/>
    </row>
    <row r="167" spans="1:10">
      <c r="A167" s="72" t="s">
        <v>443</v>
      </c>
      <c r="B167" s="974" t="str">
        <f>'payroll(FEB)'!C17</f>
        <v>GLENDA M. MAGANA</v>
      </c>
      <c r="C167" s="976"/>
      <c r="D167" s="72"/>
      <c r="E167" s="72" t="s">
        <v>443</v>
      </c>
      <c r="F167" s="974" t="str">
        <f>'payroll(FEB)'!C18</f>
        <v>PEDRO S. VELACRUZ III</v>
      </c>
      <c r="G167" s="976"/>
    </row>
    <row r="168" spans="1:10">
      <c r="A168" s="72" t="s">
        <v>444</v>
      </c>
      <c r="B168" s="974" t="str">
        <f>'payroll(FEB)'!D17</f>
        <v xml:space="preserve">AA IV </v>
      </c>
      <c r="C168" s="976"/>
      <c r="D168" s="72"/>
      <c r="E168" s="72" t="s">
        <v>444</v>
      </c>
      <c r="F168" s="974" t="str">
        <f>'payroll(FEB)'!D18</f>
        <v>PS</v>
      </c>
      <c r="G168" s="976"/>
      <c r="J168" s="50" t="s">
        <v>22</v>
      </c>
    </row>
    <row r="169" spans="1:10">
      <c r="A169" s="72" t="s">
        <v>446</v>
      </c>
      <c r="B169" s="975" t="str">
        <f>B129</f>
        <v>2/1-28/2026</v>
      </c>
      <c r="C169" s="975"/>
      <c r="D169" s="72"/>
      <c r="E169" s="72" t="s">
        <v>446</v>
      </c>
      <c r="F169" s="975" t="str">
        <f>B169</f>
        <v>2/1-28/2026</v>
      </c>
      <c r="G169" s="976"/>
    </row>
    <row r="170" spans="1:10">
      <c r="A170" s="77" t="s">
        <v>447</v>
      </c>
      <c r="B170" s="78"/>
      <c r="C170" s="88">
        <f>'payroll(FEB)'!E17</f>
        <v>17209</v>
      </c>
      <c r="D170" s="77"/>
      <c r="E170" s="77" t="s">
        <v>447</v>
      </c>
      <c r="F170" s="78"/>
      <c r="G170" s="79">
        <f>'payroll(FEB)'!E18</f>
        <v>18133</v>
      </c>
    </row>
    <row r="171" spans="1:10">
      <c r="A171" s="77" t="s">
        <v>30</v>
      </c>
      <c r="B171" s="81"/>
      <c r="C171" s="80">
        <f>'payroll(FEB)'!AC17</f>
        <v>2000</v>
      </c>
      <c r="D171" s="77"/>
      <c r="E171" s="77" t="s">
        <v>30</v>
      </c>
      <c r="F171" s="81"/>
      <c r="G171" s="79">
        <f>'payroll(FEB)'!AC18</f>
        <v>2000</v>
      </c>
      <c r="H171" s="94"/>
    </row>
    <row r="172" spans="1:10">
      <c r="A172" s="72" t="s">
        <v>449</v>
      </c>
      <c r="B172" s="72"/>
      <c r="C172" s="88"/>
      <c r="D172" s="72"/>
      <c r="E172" s="72" t="s">
        <v>449</v>
      </c>
      <c r="F172" s="72"/>
      <c r="G172" s="87"/>
    </row>
    <row r="173" spans="1:10">
      <c r="A173" s="72" t="s">
        <v>450</v>
      </c>
      <c r="B173" s="82"/>
      <c r="C173" s="92"/>
      <c r="D173" s="72"/>
      <c r="E173" s="72" t="s">
        <v>450</v>
      </c>
      <c r="F173" s="82"/>
      <c r="G173" s="87"/>
    </row>
    <row r="174" spans="1:10">
      <c r="A174" s="72" t="s">
        <v>491</v>
      </c>
      <c r="B174" s="82"/>
      <c r="C174" s="92"/>
      <c r="D174" s="72"/>
      <c r="E174" s="72" t="s">
        <v>491</v>
      </c>
      <c r="F174" s="82"/>
      <c r="G174" s="87"/>
    </row>
    <row r="175" spans="1:10">
      <c r="A175" s="72" t="s">
        <v>134</v>
      </c>
      <c r="B175" s="82"/>
      <c r="C175" s="92"/>
      <c r="D175" s="72"/>
      <c r="E175" s="72" t="s">
        <v>134</v>
      </c>
      <c r="F175" s="84"/>
      <c r="G175" s="87"/>
    </row>
    <row r="176" spans="1:10">
      <c r="A176" s="72" t="s">
        <v>451</v>
      </c>
      <c r="B176" s="82"/>
      <c r="C176" s="92"/>
      <c r="D176" s="72"/>
      <c r="E176" s="72" t="s">
        <v>451</v>
      </c>
      <c r="F176" s="84"/>
      <c r="G176" s="87"/>
    </row>
    <row r="177" spans="1:7">
      <c r="A177" s="72" t="s">
        <v>452</v>
      </c>
      <c r="B177" s="82"/>
      <c r="C177" s="92"/>
      <c r="D177" s="72"/>
      <c r="E177" s="72" t="s">
        <v>452</v>
      </c>
      <c r="F177" s="84"/>
      <c r="G177" s="87"/>
    </row>
    <row r="178" spans="1:7">
      <c r="A178" s="72" t="s">
        <v>453</v>
      </c>
      <c r="B178" s="82"/>
      <c r="C178" s="92"/>
      <c r="D178" s="72"/>
      <c r="E178" s="72" t="s">
        <v>453</v>
      </c>
      <c r="F178" s="84"/>
      <c r="G178" s="87"/>
    </row>
    <row r="179" spans="1:7">
      <c r="A179" s="72" t="s">
        <v>454</v>
      </c>
      <c r="B179" s="82"/>
      <c r="C179" s="92"/>
      <c r="D179" s="72"/>
      <c r="E179" s="72" t="s">
        <v>454</v>
      </c>
      <c r="F179" s="84"/>
      <c r="G179" s="87"/>
    </row>
    <row r="180" spans="1:7">
      <c r="A180" s="72" t="s">
        <v>455</v>
      </c>
      <c r="B180" s="82"/>
      <c r="C180" s="92"/>
      <c r="D180" s="72"/>
      <c r="E180" s="72" t="s">
        <v>455</v>
      </c>
      <c r="F180" s="84"/>
      <c r="G180" s="87"/>
    </row>
    <row r="181" spans="1:7">
      <c r="A181" s="72" t="s">
        <v>456</v>
      </c>
      <c r="B181" s="82"/>
      <c r="C181" s="92">
        <f>'PHIC (1)'!W21</f>
        <v>430.22</v>
      </c>
      <c r="D181" s="72"/>
      <c r="E181" s="72" t="s">
        <v>456</v>
      </c>
      <c r="F181" s="84"/>
      <c r="G181" s="87">
        <f>'PHIC (1)'!W22</f>
        <v>453.32</v>
      </c>
    </row>
    <row r="182" spans="1:7">
      <c r="A182" s="72" t="s">
        <v>457</v>
      </c>
      <c r="B182" s="82"/>
      <c r="C182" s="92">
        <f>' gsis'!I23</f>
        <v>1548.81</v>
      </c>
      <c r="D182" s="72"/>
      <c r="E182" s="72" t="s">
        <v>457</v>
      </c>
      <c r="F182" s="84"/>
      <c r="G182" s="87">
        <f>'payroll(FEB)'!F18</f>
        <v>1631.97</v>
      </c>
    </row>
    <row r="183" spans="1:7">
      <c r="A183" s="72" t="s">
        <v>104</v>
      </c>
      <c r="B183" s="82"/>
      <c r="C183" s="92">
        <f>'PAG-IBIG'!H21</f>
        <v>400</v>
      </c>
      <c r="D183" s="72"/>
      <c r="E183" s="72" t="s">
        <v>104</v>
      </c>
      <c r="F183" s="84"/>
      <c r="G183" s="87">
        <f>'PAG-IBIG'!H22</f>
        <v>200</v>
      </c>
    </row>
    <row r="184" spans="1:7">
      <c r="A184" s="72" t="s">
        <v>492</v>
      </c>
      <c r="B184" s="82"/>
      <c r="C184" s="92"/>
      <c r="D184" s="72"/>
      <c r="E184" s="72" t="s">
        <v>473</v>
      </c>
      <c r="F184" s="84"/>
      <c r="G184" s="87"/>
    </row>
    <row r="185" spans="1:7">
      <c r="A185" s="72" t="s">
        <v>125</v>
      </c>
      <c r="B185" s="82"/>
      <c r="C185" s="92"/>
      <c r="D185" s="72"/>
      <c r="E185" s="72" t="s">
        <v>125</v>
      </c>
      <c r="F185" s="84"/>
      <c r="G185" s="87"/>
    </row>
    <row r="186" spans="1:7">
      <c r="A186" s="72" t="s">
        <v>124</v>
      </c>
      <c r="B186" s="82"/>
      <c r="C186" s="92"/>
      <c r="D186" s="72"/>
      <c r="E186" s="72" t="s">
        <v>124</v>
      </c>
      <c r="F186" s="84"/>
      <c r="G186" s="87"/>
    </row>
    <row r="187" spans="1:7">
      <c r="A187" s="72" t="s">
        <v>458</v>
      </c>
      <c r="B187" s="82"/>
      <c r="C187" s="92">
        <f>CNGWMPC!S22</f>
        <v>702.77</v>
      </c>
      <c r="D187" s="72"/>
      <c r="E187" s="72" t="s">
        <v>458</v>
      </c>
      <c r="F187" s="84"/>
      <c r="G187" s="87">
        <f>CNGWMPC!S23</f>
        <v>6153.52</v>
      </c>
    </row>
    <row r="188" spans="1:7">
      <c r="A188" s="72" t="s">
        <v>459</v>
      </c>
      <c r="B188" s="82"/>
      <c r="C188" s="92"/>
      <c r="D188" s="72"/>
      <c r="E188" s="72" t="s">
        <v>459</v>
      </c>
      <c r="F188" s="84"/>
      <c r="G188" s="87"/>
    </row>
    <row r="189" spans="1:7">
      <c r="A189" s="72" t="s">
        <v>468</v>
      </c>
      <c r="B189" s="82"/>
      <c r="C189" s="92"/>
      <c r="D189" s="72"/>
      <c r="E189" s="72" t="s">
        <v>468</v>
      </c>
      <c r="F189" s="84"/>
      <c r="G189" s="87"/>
    </row>
    <row r="190" spans="1:7">
      <c r="A190" s="72" t="s">
        <v>475</v>
      </c>
      <c r="B190" s="82"/>
      <c r="C190" s="92">
        <f>' gsis'!P23</f>
        <v>1966.67</v>
      </c>
      <c r="D190" s="72"/>
      <c r="E190" s="72" t="s">
        <v>475</v>
      </c>
      <c r="F190" s="84"/>
      <c r="G190" s="87"/>
    </row>
    <row r="191" spans="1:7">
      <c r="A191" s="72" t="s">
        <v>464</v>
      </c>
      <c r="B191" s="82"/>
      <c r="C191" s="92"/>
      <c r="D191" s="72"/>
      <c r="E191" s="72" t="s">
        <v>464</v>
      </c>
      <c r="F191" s="84"/>
      <c r="G191" s="87"/>
    </row>
    <row r="192" spans="1:7">
      <c r="A192" s="72" t="s">
        <v>493</v>
      </c>
      <c r="B192" s="82"/>
      <c r="C192" s="92">
        <f>' gsis'!$Q$23</f>
        <v>5603.77</v>
      </c>
      <c r="D192" s="72"/>
      <c r="E192" s="72" t="s">
        <v>465</v>
      </c>
      <c r="F192" s="84"/>
      <c r="G192" s="87"/>
    </row>
    <row r="193" spans="1:7">
      <c r="A193" s="72" t="s">
        <v>463</v>
      </c>
      <c r="B193" s="82"/>
      <c r="C193" s="92">
        <f>' gsis'!$R$23</f>
        <v>2236.7600000000002</v>
      </c>
      <c r="D193" s="72"/>
      <c r="E193" s="72" t="s">
        <v>467</v>
      </c>
      <c r="F193" s="84"/>
      <c r="G193" s="87"/>
    </row>
    <row r="194" spans="1:7">
      <c r="A194" s="72" t="s">
        <v>490</v>
      </c>
      <c r="B194" s="82"/>
      <c r="C194" s="92">
        <f>' gsis'!$N$23</f>
        <v>0</v>
      </c>
      <c r="D194" s="72"/>
      <c r="E194" s="72" t="s">
        <v>463</v>
      </c>
      <c r="F194" s="84"/>
      <c r="G194" s="87">
        <f>' gsis'!$R$24</f>
        <v>2848.19</v>
      </c>
    </row>
    <row r="195" spans="1:7">
      <c r="A195" s="72"/>
      <c r="B195" s="84"/>
      <c r="C195" s="70"/>
      <c r="D195" s="72"/>
      <c r="E195" s="72"/>
      <c r="F195" s="84"/>
      <c r="G195" s="87"/>
    </row>
    <row r="196" spans="1:7">
      <c r="A196" s="77" t="s">
        <v>470</v>
      </c>
      <c r="B196" s="82"/>
      <c r="C196" s="88">
        <f>SUM(B173:C194)</f>
        <v>12889</v>
      </c>
      <c r="D196" s="80"/>
      <c r="E196" s="77" t="s">
        <v>470</v>
      </c>
      <c r="F196" s="84"/>
      <c r="G196" s="88">
        <f>SUM(F173:G194)</f>
        <v>11287.000000000002</v>
      </c>
    </row>
    <row r="197" spans="1:7">
      <c r="A197" s="77" t="s">
        <v>471</v>
      </c>
      <c r="B197" s="82"/>
      <c r="C197" s="80">
        <f>C170+C171-C196</f>
        <v>6320</v>
      </c>
      <c r="D197" s="77"/>
      <c r="E197" s="77" t="s">
        <v>471</v>
      </c>
      <c r="F197" s="84"/>
      <c r="G197" s="80">
        <f>G170+G171-G196</f>
        <v>8845.9999999999982</v>
      </c>
    </row>
    <row r="198" spans="1:7">
      <c r="A198" s="77"/>
      <c r="B198" s="72"/>
      <c r="C198" s="88"/>
      <c r="D198" s="77"/>
      <c r="E198" s="77"/>
      <c r="F198" s="72"/>
      <c r="G198" s="79"/>
    </row>
    <row r="199" spans="1:7">
      <c r="A199" s="72"/>
      <c r="B199" s="72"/>
      <c r="C199" s="72"/>
      <c r="D199" s="72"/>
      <c r="E199" s="72"/>
      <c r="F199" s="72"/>
      <c r="G199" s="72"/>
    </row>
    <row r="200" spans="1:7">
      <c r="A200" s="973" t="str">
        <f>A35</f>
        <v>MELINDA R. BARCELONA</v>
      </c>
      <c r="B200" s="973"/>
      <c r="C200" s="973"/>
      <c r="D200" s="77"/>
      <c r="E200" s="973" t="str">
        <f>A200</f>
        <v>MELINDA R. BARCELONA</v>
      </c>
      <c r="F200" s="973"/>
      <c r="G200" s="973"/>
    </row>
    <row r="201" spans="1:7">
      <c r="A201" s="972" t="str">
        <f>A36</f>
        <v>AO V/PAYROLL CLERK</v>
      </c>
      <c r="B201" s="972"/>
      <c r="C201" s="972"/>
      <c r="D201" s="72"/>
      <c r="E201" s="972" t="str">
        <f>A201</f>
        <v>AO V/PAYROLL CLERK</v>
      </c>
      <c r="F201" s="972"/>
      <c r="G201" s="972"/>
    </row>
    <row r="202" spans="1:7">
      <c r="A202" s="71"/>
      <c r="B202" s="71"/>
      <c r="C202" s="71"/>
      <c r="D202" s="72"/>
      <c r="E202" s="71"/>
      <c r="F202" s="71"/>
      <c r="G202" s="71"/>
    </row>
    <row r="203" spans="1:7">
      <c r="A203" s="972" t="s">
        <v>0</v>
      </c>
      <c r="B203" s="972"/>
      <c r="C203" s="972"/>
      <c r="D203" s="72"/>
      <c r="E203" s="972" t="s">
        <v>0</v>
      </c>
      <c r="F203" s="972"/>
      <c r="G203" s="972"/>
    </row>
    <row r="204" spans="1:7">
      <c r="A204" s="972" t="s">
        <v>1</v>
      </c>
      <c r="B204" s="972"/>
      <c r="C204" s="972"/>
      <c r="D204" s="72"/>
      <c r="E204" s="972" t="s">
        <v>1</v>
      </c>
      <c r="F204" s="972"/>
      <c r="G204" s="972"/>
    </row>
    <row r="205" spans="1:7">
      <c r="A205" s="972" t="s">
        <v>441</v>
      </c>
      <c r="B205" s="972"/>
      <c r="C205" s="972"/>
      <c r="D205" s="72"/>
      <c r="E205" s="972" t="s">
        <v>441</v>
      </c>
      <c r="F205" s="972"/>
      <c r="G205" s="972"/>
    </row>
    <row r="206" spans="1:7">
      <c r="A206" s="972" t="s">
        <v>342</v>
      </c>
      <c r="B206" s="972"/>
      <c r="C206" s="972"/>
      <c r="D206" s="72"/>
      <c r="E206" s="972" t="s">
        <v>342</v>
      </c>
      <c r="F206" s="972"/>
      <c r="G206" s="972"/>
    </row>
    <row r="207" spans="1:7">
      <c r="A207" s="972" t="s">
        <v>442</v>
      </c>
      <c r="B207" s="972"/>
      <c r="C207" s="972"/>
      <c r="D207" s="72"/>
      <c r="E207" s="972" t="s">
        <v>442</v>
      </c>
      <c r="F207" s="972"/>
      <c r="G207" s="972"/>
    </row>
    <row r="208" spans="1:7">
      <c r="A208" s="72" t="s">
        <v>443</v>
      </c>
      <c r="B208" s="974" t="str">
        <f>'payroll(FEB)'!C19</f>
        <v>SALLY R. ARCIGA</v>
      </c>
      <c r="C208" s="974"/>
      <c r="D208" s="72"/>
      <c r="E208" s="72" t="s">
        <v>443</v>
      </c>
      <c r="F208" s="974" t="str">
        <f>'payroll(FEB)'!C20</f>
        <v>MACK LENNON G. QUIBRAL</v>
      </c>
      <c r="G208" s="976"/>
    </row>
    <row r="209" spans="1:8">
      <c r="A209" s="72" t="s">
        <v>444</v>
      </c>
      <c r="B209" s="974" t="str">
        <f>'payroll(FEB)'!D19</f>
        <v>AA III</v>
      </c>
      <c r="C209" s="974"/>
      <c r="D209" s="72"/>
      <c r="E209" s="72" t="s">
        <v>444</v>
      </c>
      <c r="F209" s="974" t="str">
        <f>'payroll(FEB)'!D20</f>
        <v>AT</v>
      </c>
      <c r="G209" s="976"/>
    </row>
    <row r="210" spans="1:8">
      <c r="A210" s="72" t="s">
        <v>446</v>
      </c>
      <c r="B210" s="975" t="str">
        <f>B169</f>
        <v>2/1-28/2026</v>
      </c>
      <c r="C210" s="975"/>
      <c r="D210" s="72"/>
      <c r="E210" s="72" t="s">
        <v>446</v>
      </c>
      <c r="F210" s="975" t="str">
        <f>B210</f>
        <v>2/1-28/2026</v>
      </c>
      <c r="G210" s="976"/>
    </row>
    <row r="211" spans="1:8">
      <c r="A211" s="77" t="s">
        <v>447</v>
      </c>
      <c r="B211" s="78"/>
      <c r="C211" s="79">
        <f>'payroll(FEB)'!E19</f>
        <v>16088</v>
      </c>
      <c r="D211" s="77"/>
      <c r="E211" s="77" t="s">
        <v>447</v>
      </c>
      <c r="F211" s="78"/>
      <c r="G211" s="88">
        <f>'payroll(FEB)'!E20</f>
        <v>25996</v>
      </c>
    </row>
    <row r="212" spans="1:8">
      <c r="A212" s="77" t="s">
        <v>30</v>
      </c>
      <c r="B212" s="81"/>
      <c r="C212" s="95">
        <f>'payroll(FEB)'!AC19</f>
        <v>2000</v>
      </c>
      <c r="D212" s="77"/>
      <c r="E212" s="77" t="s">
        <v>30</v>
      </c>
      <c r="F212" s="78"/>
      <c r="G212" s="88">
        <f>'payroll(FEB)'!AC19</f>
        <v>2000</v>
      </c>
      <c r="H212" s="94"/>
    </row>
    <row r="213" spans="1:8">
      <c r="A213" s="72" t="s">
        <v>449</v>
      </c>
      <c r="B213" s="72"/>
      <c r="C213" s="87"/>
      <c r="D213" s="72"/>
      <c r="E213" s="72" t="s">
        <v>449</v>
      </c>
      <c r="F213" s="72"/>
      <c r="G213" s="92"/>
    </row>
    <row r="214" spans="1:8">
      <c r="A214" s="72" t="s">
        <v>134</v>
      </c>
      <c r="B214" s="84"/>
      <c r="C214" s="87">
        <f>'PAG-IBIG'!J23</f>
        <v>0</v>
      </c>
      <c r="D214" s="72"/>
      <c r="E214" s="72" t="s">
        <v>134</v>
      </c>
      <c r="F214" s="82"/>
      <c r="G214" s="92"/>
    </row>
    <row r="215" spans="1:8">
      <c r="A215" s="72" t="s">
        <v>451</v>
      </c>
      <c r="B215" s="84"/>
      <c r="C215" s="87"/>
      <c r="D215" s="72"/>
      <c r="E215" s="72" t="s">
        <v>451</v>
      </c>
      <c r="F215" s="82"/>
      <c r="G215" s="92"/>
    </row>
    <row r="216" spans="1:8">
      <c r="A216" s="72" t="s">
        <v>452</v>
      </c>
      <c r="B216" s="84"/>
      <c r="C216" s="87"/>
      <c r="D216" s="72"/>
      <c r="E216" s="72" t="s">
        <v>452</v>
      </c>
      <c r="F216" s="82"/>
      <c r="G216" s="92"/>
    </row>
    <row r="217" spans="1:8">
      <c r="A217" s="72" t="s">
        <v>453</v>
      </c>
      <c r="B217" s="84"/>
      <c r="C217" s="87"/>
      <c r="D217" s="72"/>
      <c r="E217" s="72" t="s">
        <v>453</v>
      </c>
      <c r="F217" s="82"/>
      <c r="G217" s="92">
        <f>WTAX!H21</f>
        <v>537</v>
      </c>
    </row>
    <row r="218" spans="1:8">
      <c r="A218" s="72" t="s">
        <v>454</v>
      </c>
      <c r="B218" s="84"/>
      <c r="C218" s="87"/>
      <c r="D218" s="72"/>
      <c r="E218" s="72" t="s">
        <v>454</v>
      </c>
      <c r="F218" s="82"/>
      <c r="G218" s="92"/>
    </row>
    <row r="219" spans="1:8">
      <c r="A219" s="72" t="s">
        <v>455</v>
      </c>
      <c r="B219" s="84"/>
      <c r="C219" s="87"/>
      <c r="D219" s="72"/>
      <c r="E219" s="72" t="s">
        <v>455</v>
      </c>
      <c r="F219" s="82"/>
      <c r="G219" s="92"/>
    </row>
    <row r="220" spans="1:8">
      <c r="A220" s="72" t="s">
        <v>456</v>
      </c>
      <c r="B220" s="84"/>
      <c r="C220" s="87">
        <f>'PHIC (1)'!W23</f>
        <v>402.2</v>
      </c>
      <c r="D220" s="72"/>
      <c r="E220" s="72" t="s">
        <v>456</v>
      </c>
      <c r="F220" s="82"/>
      <c r="G220" s="92">
        <f>'PHIC (1)'!W24</f>
        <v>649.9</v>
      </c>
    </row>
    <row r="221" spans="1:8">
      <c r="A221" s="72" t="s">
        <v>457</v>
      </c>
      <c r="B221" s="84"/>
      <c r="C221" s="87">
        <f>'payroll(FEB)'!F19</f>
        <v>1447.9199999999998</v>
      </c>
      <c r="D221" s="72"/>
      <c r="E221" s="72" t="s">
        <v>457</v>
      </c>
      <c r="F221" s="82"/>
      <c r="G221" s="92">
        <f>'payroll(FEB)'!F20</f>
        <v>2339.64</v>
      </c>
    </row>
    <row r="222" spans="1:8">
      <c r="A222" s="72" t="s">
        <v>104</v>
      </c>
      <c r="B222" s="84"/>
      <c r="C222" s="87">
        <f>'PAG-IBIG'!H23</f>
        <v>200</v>
      </c>
      <c r="D222" s="72"/>
      <c r="E222" s="72" t="s">
        <v>104</v>
      </c>
      <c r="F222" s="82"/>
      <c r="G222" s="92">
        <f>'PAG-IBIG'!H24</f>
        <v>200</v>
      </c>
    </row>
    <row r="223" spans="1:8">
      <c r="A223" s="72" t="s">
        <v>111</v>
      </c>
      <c r="B223" s="84"/>
      <c r="C223" s="87"/>
      <c r="D223" s="72"/>
      <c r="E223" s="72" t="s">
        <v>111</v>
      </c>
      <c r="F223" s="82"/>
      <c r="G223" s="92"/>
    </row>
    <row r="224" spans="1:8">
      <c r="A224" s="72" t="s">
        <v>125</v>
      </c>
      <c r="B224" s="84"/>
      <c r="C224" s="87"/>
      <c r="D224" s="72"/>
      <c r="E224" s="72" t="s">
        <v>125</v>
      </c>
      <c r="F224" s="82"/>
      <c r="G224" s="92">
        <f>LBP!H18</f>
        <v>3788.1</v>
      </c>
    </row>
    <row r="225" spans="1:7">
      <c r="A225" s="72" t="s">
        <v>124</v>
      </c>
      <c r="B225" s="84"/>
      <c r="C225" s="87">
        <f>DBP!G21</f>
        <v>5266.77</v>
      </c>
      <c r="D225" s="72"/>
      <c r="E225" s="72" t="s">
        <v>124</v>
      </c>
      <c r="F225" s="96"/>
      <c r="G225" s="92">
        <f>DBP!G23</f>
        <v>4356.07</v>
      </c>
    </row>
    <row r="226" spans="1:7">
      <c r="A226" s="72" t="s">
        <v>458</v>
      </c>
      <c r="B226" s="84"/>
      <c r="C226" s="87">
        <f>CNGWMPC!S24</f>
        <v>804.22</v>
      </c>
      <c r="D226" s="72"/>
      <c r="E226" s="72" t="s">
        <v>458</v>
      </c>
      <c r="F226" s="82"/>
      <c r="G226" s="92">
        <f>CNGWMPC!S25</f>
        <v>800.83999999999992</v>
      </c>
    </row>
    <row r="227" spans="1:7">
      <c r="A227" s="72" t="s">
        <v>459</v>
      </c>
      <c r="B227" s="84"/>
      <c r="C227" s="87"/>
      <c r="D227" s="72"/>
      <c r="E227" s="72" t="s">
        <v>459</v>
      </c>
      <c r="F227" s="82"/>
      <c r="G227" s="92"/>
    </row>
    <row r="228" spans="1:7">
      <c r="A228" s="72" t="s">
        <v>460</v>
      </c>
      <c r="B228" s="84"/>
      <c r="C228" s="87"/>
      <c r="D228" s="72"/>
      <c r="E228" s="72" t="s">
        <v>468</v>
      </c>
      <c r="F228" s="82"/>
      <c r="G228" s="92"/>
    </row>
    <row r="229" spans="1:7">
      <c r="A229" s="72" t="s">
        <v>494</v>
      </c>
      <c r="B229" s="84"/>
      <c r="C229" s="87">
        <f>'PAG-IBIG'!K23</f>
        <v>0</v>
      </c>
      <c r="D229" s="72"/>
      <c r="E229" s="72" t="s">
        <v>495</v>
      </c>
      <c r="F229" s="82"/>
      <c r="G229" s="92"/>
    </row>
    <row r="230" spans="1:7">
      <c r="A230" s="72" t="s">
        <v>700</v>
      </c>
      <c r="B230" s="84"/>
      <c r="C230" s="87">
        <f>' gsis'!P25</f>
        <v>1966.67</v>
      </c>
      <c r="D230" s="72"/>
      <c r="E230" s="72" t="s">
        <v>464</v>
      </c>
      <c r="F230" s="82"/>
      <c r="G230" s="92"/>
    </row>
    <row r="231" spans="1:7">
      <c r="A231" s="72" t="s">
        <v>465</v>
      </c>
      <c r="B231" s="84"/>
      <c r="C231" s="87">
        <f>' gsis'!$N$25</f>
        <v>655.56</v>
      </c>
      <c r="D231" s="72"/>
      <c r="E231" s="72" t="s">
        <v>476</v>
      </c>
      <c r="F231" s="82"/>
      <c r="G231" s="92">
        <f>' gsis'!R26</f>
        <v>3467.78</v>
      </c>
    </row>
    <row r="232" spans="1:7">
      <c r="A232" s="72" t="s">
        <v>463</v>
      </c>
      <c r="B232" s="84"/>
      <c r="C232" s="87">
        <f>' gsis'!$R$25</f>
        <v>2074.66</v>
      </c>
      <c r="D232" s="72"/>
      <c r="E232" s="72" t="s">
        <v>644</v>
      </c>
      <c r="F232" s="82"/>
      <c r="G232" s="92">
        <f>' gsis'!M26</f>
        <v>200</v>
      </c>
    </row>
    <row r="233" spans="1:7">
      <c r="A233" s="72" t="s">
        <v>483</v>
      </c>
      <c r="B233" s="84"/>
      <c r="C233" s="87">
        <f>' gsis'!M25</f>
        <v>100</v>
      </c>
      <c r="D233" s="72"/>
      <c r="E233" s="72" t="s">
        <v>512</v>
      </c>
      <c r="F233" s="82"/>
      <c r="G233" s="92">
        <f>' gsis'!S26</f>
        <v>1816.67</v>
      </c>
    </row>
    <row r="234" spans="1:7">
      <c r="A234" s="72"/>
      <c r="B234" s="84"/>
      <c r="C234" s="97"/>
      <c r="D234" s="72"/>
      <c r="E234" s="72"/>
      <c r="F234" s="82"/>
      <c r="G234" s="92"/>
    </row>
    <row r="235" spans="1:7">
      <c r="A235" s="77" t="s">
        <v>470</v>
      </c>
      <c r="B235" s="84"/>
      <c r="C235" s="79">
        <f>SUM(B214:C233)</f>
        <v>12918</v>
      </c>
      <c r="D235" s="77"/>
      <c r="E235" s="77" t="s">
        <v>470</v>
      </c>
      <c r="F235" s="82"/>
      <c r="G235" s="79">
        <f>SUM(F214:G233)</f>
        <v>18156</v>
      </c>
    </row>
    <row r="236" spans="1:7">
      <c r="A236" s="77" t="s">
        <v>471</v>
      </c>
      <c r="B236" s="84"/>
      <c r="C236" s="80">
        <f>C211+C212-C235</f>
        <v>5170</v>
      </c>
      <c r="D236" s="77"/>
      <c r="E236" s="77" t="s">
        <v>471</v>
      </c>
      <c r="F236" s="82"/>
      <c r="G236" s="80">
        <f>G211+G212-G235</f>
        <v>9840</v>
      </c>
    </row>
    <row r="237" spans="1:7">
      <c r="A237" s="77"/>
      <c r="B237" s="77"/>
      <c r="C237" s="77"/>
      <c r="D237" s="77"/>
      <c r="E237" s="77"/>
      <c r="F237" s="77"/>
      <c r="G237" s="77"/>
    </row>
    <row r="238" spans="1:7">
      <c r="A238" s="72"/>
      <c r="B238" s="72"/>
      <c r="C238" s="72"/>
      <c r="D238" s="72"/>
      <c r="E238" s="72"/>
      <c r="F238" s="72"/>
      <c r="G238" s="72"/>
    </row>
    <row r="239" spans="1:7">
      <c r="A239" s="973" t="str">
        <f>A200</f>
        <v>MELINDA R. BARCELONA</v>
      </c>
      <c r="B239" s="973"/>
      <c r="C239" s="973"/>
      <c r="D239" s="77"/>
      <c r="E239" s="973" t="str">
        <f>A239</f>
        <v>MELINDA R. BARCELONA</v>
      </c>
      <c r="F239" s="973"/>
      <c r="G239" s="973"/>
    </row>
    <row r="240" spans="1:7">
      <c r="A240" s="972" t="str">
        <f>A201</f>
        <v>AO V/PAYROLL CLERK</v>
      </c>
      <c r="B240" s="972"/>
      <c r="C240" s="972"/>
      <c r="D240" s="72"/>
      <c r="E240" s="972" t="str">
        <f>A240</f>
        <v>AO V/PAYROLL CLERK</v>
      </c>
      <c r="F240" s="972"/>
      <c r="G240" s="972"/>
    </row>
    <row r="241" spans="1:7">
      <c r="A241" s="71"/>
      <c r="B241" s="71"/>
      <c r="C241" s="71"/>
      <c r="D241" s="72"/>
      <c r="E241" s="71"/>
      <c r="F241" s="71"/>
      <c r="G241" s="71"/>
    </row>
    <row r="242" spans="1:7">
      <c r="A242" s="972" t="s">
        <v>0</v>
      </c>
      <c r="B242" s="972"/>
      <c r="C242" s="972"/>
      <c r="D242" s="72"/>
      <c r="E242" s="972" t="s">
        <v>0</v>
      </c>
      <c r="F242" s="972"/>
      <c r="G242" s="972"/>
    </row>
    <row r="243" spans="1:7">
      <c r="A243" s="972" t="s">
        <v>1</v>
      </c>
      <c r="B243" s="972"/>
      <c r="C243" s="972"/>
      <c r="D243" s="72"/>
      <c r="E243" s="972" t="s">
        <v>1</v>
      </c>
      <c r="F243" s="972"/>
      <c r="G243" s="972"/>
    </row>
    <row r="244" spans="1:7">
      <c r="A244" s="972" t="s">
        <v>441</v>
      </c>
      <c r="B244" s="972"/>
      <c r="C244" s="972"/>
      <c r="D244" s="72"/>
      <c r="E244" s="972" t="s">
        <v>441</v>
      </c>
      <c r="F244" s="972"/>
      <c r="G244" s="972"/>
    </row>
    <row r="245" spans="1:7">
      <c r="A245" s="972" t="s">
        <v>342</v>
      </c>
      <c r="B245" s="972"/>
      <c r="C245" s="972"/>
      <c r="D245" s="72"/>
      <c r="E245" s="972" t="s">
        <v>342</v>
      </c>
      <c r="F245" s="972"/>
      <c r="G245" s="972"/>
    </row>
    <row r="246" spans="1:7">
      <c r="A246" s="972" t="s">
        <v>442</v>
      </c>
      <c r="B246" s="972"/>
      <c r="C246" s="972"/>
      <c r="D246" s="72"/>
      <c r="E246" s="972" t="s">
        <v>442</v>
      </c>
      <c r="F246" s="972"/>
      <c r="G246" s="972"/>
    </row>
    <row r="247" spans="1:7">
      <c r="A247" s="72" t="s">
        <v>443</v>
      </c>
      <c r="B247" s="974" t="str">
        <f>'payroll(FEB)'!C21</f>
        <v>GEMMA S. JAUCIAN</v>
      </c>
      <c r="C247" s="976"/>
      <c r="D247" s="72"/>
      <c r="E247" s="72" t="s">
        <v>443</v>
      </c>
      <c r="F247" s="974"/>
      <c r="G247" s="976"/>
    </row>
    <row r="248" spans="1:7">
      <c r="A248" s="72" t="s">
        <v>444</v>
      </c>
      <c r="B248" s="974" t="str">
        <f>'payroll(FEB)'!D21</f>
        <v>BIII</v>
      </c>
      <c r="C248" s="976"/>
      <c r="D248" s="72"/>
      <c r="E248" s="72" t="s">
        <v>444</v>
      </c>
      <c r="F248" s="974"/>
      <c r="G248" s="976"/>
    </row>
    <row r="249" spans="1:7">
      <c r="A249" s="72" t="s">
        <v>446</v>
      </c>
      <c r="B249" s="975" t="str">
        <f>B210</f>
        <v>2/1-28/2026</v>
      </c>
      <c r="C249" s="975"/>
      <c r="D249" s="72"/>
      <c r="E249" s="72" t="s">
        <v>446</v>
      </c>
      <c r="F249" s="975" t="str">
        <f>B249</f>
        <v>2/1-28/2026</v>
      </c>
      <c r="G249" s="976"/>
    </row>
    <row r="250" spans="1:7">
      <c r="A250" s="77" t="s">
        <v>447</v>
      </c>
      <c r="B250" s="78"/>
      <c r="C250" s="88">
        <f>'payroll(FEB)'!E21</f>
        <v>20408</v>
      </c>
      <c r="D250" s="77"/>
      <c r="E250" s="77" t="s">
        <v>447</v>
      </c>
      <c r="F250" s="78"/>
      <c r="G250" s="88"/>
    </row>
    <row r="251" spans="1:7">
      <c r="A251" s="77" t="s">
        <v>30</v>
      </c>
      <c r="B251" s="81"/>
      <c r="C251" s="90">
        <f>'payroll(FEB)'!AC21</f>
        <v>2000</v>
      </c>
      <c r="D251" s="77"/>
      <c r="E251" s="77" t="s">
        <v>30</v>
      </c>
      <c r="F251" s="78"/>
      <c r="G251" s="88"/>
    </row>
    <row r="252" spans="1:7">
      <c r="A252" s="72" t="s">
        <v>449</v>
      </c>
      <c r="B252" s="72"/>
      <c r="C252" s="88"/>
      <c r="D252" s="72"/>
      <c r="E252" s="72" t="s">
        <v>449</v>
      </c>
      <c r="F252" s="72"/>
      <c r="G252" s="92"/>
    </row>
    <row r="253" spans="1:7">
      <c r="A253" s="72" t="s">
        <v>450</v>
      </c>
      <c r="B253" s="82"/>
      <c r="C253" s="92"/>
      <c r="D253" s="72"/>
      <c r="E253" s="72" t="s">
        <v>450</v>
      </c>
      <c r="F253" s="82"/>
      <c r="G253" s="92"/>
    </row>
    <row r="254" spans="1:7">
      <c r="A254" s="72" t="s">
        <v>134</v>
      </c>
      <c r="B254" s="82"/>
      <c r="C254" s="92">
        <f>'PAG-IBIG'!J25</f>
        <v>0</v>
      </c>
      <c r="D254" s="72"/>
      <c r="E254" s="72" t="s">
        <v>134</v>
      </c>
      <c r="F254" s="82"/>
      <c r="G254" s="92"/>
    </row>
    <row r="255" spans="1:7">
      <c r="A255" s="72" t="s">
        <v>451</v>
      </c>
      <c r="B255" s="82"/>
      <c r="C255" s="92"/>
      <c r="D255" s="72"/>
      <c r="E255" s="72" t="s">
        <v>451</v>
      </c>
      <c r="F255" s="82"/>
      <c r="G255" s="92"/>
    </row>
    <row r="256" spans="1:7">
      <c r="A256" s="72" t="s">
        <v>452</v>
      </c>
      <c r="B256" s="82"/>
      <c r="C256" s="92"/>
      <c r="D256" s="72"/>
      <c r="E256" s="72" t="s">
        <v>452</v>
      </c>
      <c r="F256" s="82"/>
      <c r="G256" s="92"/>
    </row>
    <row r="257" spans="1:7">
      <c r="A257" s="72" t="s">
        <v>453</v>
      </c>
      <c r="B257" s="82"/>
      <c r="C257" s="92"/>
      <c r="D257" s="72"/>
      <c r="E257" s="72" t="s">
        <v>453</v>
      </c>
      <c r="F257" s="82"/>
      <c r="G257" s="92"/>
    </row>
    <row r="258" spans="1:7">
      <c r="A258" s="72" t="s">
        <v>474</v>
      </c>
      <c r="B258" s="82"/>
      <c r="C258" s="92">
        <f>'PAG-IBIG'!K25</f>
        <v>970.5</v>
      </c>
      <c r="D258" s="72"/>
      <c r="E258" s="72" t="s">
        <v>454</v>
      </c>
      <c r="F258" s="82"/>
      <c r="G258" s="92"/>
    </row>
    <row r="259" spans="1:7">
      <c r="A259" s="72" t="s">
        <v>455</v>
      </c>
      <c r="B259" s="82"/>
      <c r="C259" s="92"/>
      <c r="D259" s="72"/>
      <c r="E259" s="72" t="s">
        <v>455</v>
      </c>
      <c r="F259" s="82"/>
      <c r="G259" s="92"/>
    </row>
    <row r="260" spans="1:7">
      <c r="A260" s="72" t="s">
        <v>456</v>
      </c>
      <c r="B260" s="82"/>
      <c r="C260" s="92">
        <f>'PHIC (1)'!W25</f>
        <v>510.2</v>
      </c>
      <c r="D260" s="72"/>
      <c r="E260" s="72" t="s">
        <v>456</v>
      </c>
      <c r="F260" s="82"/>
      <c r="G260" s="92"/>
    </row>
    <row r="261" spans="1:7">
      <c r="A261" s="72" t="s">
        <v>457</v>
      </c>
      <c r="B261" s="82"/>
      <c r="C261" s="92">
        <f>'payroll(FEB)'!F21</f>
        <v>1836.72</v>
      </c>
      <c r="D261" s="72"/>
      <c r="E261" s="72" t="s">
        <v>457</v>
      </c>
      <c r="F261" s="82"/>
      <c r="G261" s="92"/>
    </row>
    <row r="262" spans="1:7">
      <c r="A262" s="72" t="s">
        <v>104</v>
      </c>
      <c r="B262" s="82"/>
      <c r="C262" s="92">
        <f>'PAG-IBIG'!H25</f>
        <v>200</v>
      </c>
      <c r="D262" s="72"/>
      <c r="E262" s="72" t="s">
        <v>104</v>
      </c>
      <c r="F262" s="82"/>
      <c r="G262" s="92"/>
    </row>
    <row r="263" spans="1:7">
      <c r="A263" s="72" t="s">
        <v>111</v>
      </c>
      <c r="B263" s="82"/>
      <c r="C263" s="92"/>
      <c r="D263" s="72"/>
      <c r="E263" s="72" t="s">
        <v>111</v>
      </c>
      <c r="F263" s="82"/>
      <c r="G263" s="92"/>
    </row>
    <row r="264" spans="1:7">
      <c r="A264" s="72" t="s">
        <v>125</v>
      </c>
      <c r="B264" s="82"/>
      <c r="C264" s="92"/>
      <c r="D264" s="72"/>
      <c r="E264" s="72" t="s">
        <v>125</v>
      </c>
      <c r="F264" s="82"/>
      <c r="G264" s="92"/>
    </row>
    <row r="265" spans="1:7">
      <c r="A265" s="72" t="s">
        <v>124</v>
      </c>
      <c r="B265" s="82"/>
      <c r="C265" s="92">
        <f>DBP!G22</f>
        <v>6583.46</v>
      </c>
      <c r="D265" s="72"/>
      <c r="E265" s="72" t="s">
        <v>124</v>
      </c>
      <c r="F265" s="82"/>
      <c r="G265" s="92"/>
    </row>
    <row r="266" spans="1:7">
      <c r="A266" s="72" t="s">
        <v>458</v>
      </c>
      <c r="B266" s="82"/>
      <c r="C266" s="92">
        <f>CNGWMPC!S26</f>
        <v>1383.27</v>
      </c>
      <c r="D266" s="72"/>
      <c r="E266" s="72" t="s">
        <v>458</v>
      </c>
      <c r="F266" s="82"/>
      <c r="G266" s="92"/>
    </row>
    <row r="267" spans="1:7">
      <c r="A267" s="72" t="s">
        <v>459</v>
      </c>
      <c r="B267" s="82"/>
      <c r="C267" s="92"/>
      <c r="D267" s="72"/>
      <c r="E267" s="72" t="s">
        <v>459</v>
      </c>
      <c r="F267" s="82"/>
      <c r="G267" s="92"/>
    </row>
    <row r="268" spans="1:7">
      <c r="A268" s="72" t="s">
        <v>498</v>
      </c>
      <c r="B268" s="82"/>
      <c r="C268" s="92"/>
      <c r="D268" s="72"/>
      <c r="E268" s="72" t="s">
        <v>461</v>
      </c>
      <c r="F268" s="82"/>
      <c r="G268" s="92"/>
    </row>
    <row r="269" spans="1:7">
      <c r="A269" s="72" t="s">
        <v>461</v>
      </c>
      <c r="B269" s="82"/>
      <c r="C269" s="92"/>
      <c r="D269" s="72"/>
      <c r="E269" s="72" t="s">
        <v>460</v>
      </c>
      <c r="F269" s="82"/>
      <c r="G269" s="92"/>
    </row>
    <row r="270" spans="1:7">
      <c r="A270" s="72" t="s">
        <v>699</v>
      </c>
      <c r="B270" s="82"/>
      <c r="C270" s="92">
        <f>' gsis'!P27</f>
        <v>1966.67</v>
      </c>
      <c r="D270" s="72"/>
      <c r="E270" s="72" t="s">
        <v>467</v>
      </c>
      <c r="F270" s="82"/>
      <c r="G270" s="92"/>
    </row>
    <row r="271" spans="1:7">
      <c r="A271" s="72" t="s">
        <v>465</v>
      </c>
      <c r="B271" s="82"/>
      <c r="C271" s="92">
        <f>' gsis'!N27</f>
        <v>655.56</v>
      </c>
      <c r="D271" s="72"/>
      <c r="E271" s="72" t="s">
        <v>465</v>
      </c>
      <c r="F271" s="82"/>
      <c r="G271" s="92"/>
    </row>
    <row r="272" spans="1:7">
      <c r="A272" s="72" t="s">
        <v>483</v>
      </c>
      <c r="B272" s="82"/>
      <c r="C272" s="92">
        <f>' gsis'!M27</f>
        <v>200</v>
      </c>
      <c r="D272" s="72"/>
      <c r="E272" s="72" t="s">
        <v>476</v>
      </c>
      <c r="F272" s="82"/>
      <c r="G272" s="92"/>
    </row>
    <row r="273" spans="1:7">
      <c r="A273" s="72" t="s">
        <v>463</v>
      </c>
      <c r="B273" s="82"/>
      <c r="C273" s="92">
        <f>' gsis'!R27</f>
        <v>2631.62</v>
      </c>
      <c r="D273" s="72"/>
      <c r="E273" s="72" t="s">
        <v>485</v>
      </c>
      <c r="F273" s="82"/>
      <c r="G273" s="92"/>
    </row>
    <row r="274" spans="1:7">
      <c r="A274" s="72"/>
      <c r="B274" s="84"/>
      <c r="C274" s="83"/>
      <c r="D274" s="72"/>
      <c r="E274" s="72"/>
      <c r="F274" s="82"/>
      <c r="G274" s="92"/>
    </row>
    <row r="275" spans="1:7">
      <c r="A275" s="77" t="s">
        <v>470</v>
      </c>
      <c r="B275" s="82"/>
      <c r="C275" s="88">
        <f>SUM(B253:C273)</f>
        <v>16938</v>
      </c>
      <c r="D275" s="77"/>
      <c r="E275" s="77" t="s">
        <v>470</v>
      </c>
      <c r="F275" s="82"/>
      <c r="G275" s="88">
        <f>SUM(F253:G273)</f>
        <v>0</v>
      </c>
    </row>
    <row r="276" spans="1:7">
      <c r="A276" s="77" t="s">
        <v>471</v>
      </c>
      <c r="B276" s="82"/>
      <c r="C276" s="80">
        <f>C250+C251-C275</f>
        <v>5470</v>
      </c>
      <c r="D276" s="77"/>
      <c r="E276" s="77" t="s">
        <v>471</v>
      </c>
      <c r="F276" s="82"/>
      <c r="G276" s="80">
        <f>G250+G251-G275</f>
        <v>0</v>
      </c>
    </row>
    <row r="277" spans="1:7">
      <c r="A277" s="77"/>
      <c r="B277" s="72"/>
      <c r="C277" s="88"/>
      <c r="D277" s="77"/>
      <c r="E277" s="77"/>
      <c r="F277" s="72"/>
      <c r="G277" s="88"/>
    </row>
    <row r="278" spans="1:7">
      <c r="A278" s="72"/>
      <c r="B278" s="72"/>
      <c r="C278" s="72"/>
      <c r="D278" s="72"/>
      <c r="E278" s="72"/>
      <c r="F278" s="72"/>
      <c r="G278" s="72"/>
    </row>
    <row r="279" spans="1:7">
      <c r="A279" s="973" t="str">
        <f>A35</f>
        <v>MELINDA R. BARCELONA</v>
      </c>
      <c r="B279" s="973"/>
      <c r="C279" s="973"/>
      <c r="D279" s="77"/>
      <c r="E279" s="973" t="str">
        <f>A279</f>
        <v>MELINDA R. BARCELONA</v>
      </c>
      <c r="F279" s="973"/>
      <c r="G279" s="973"/>
    </row>
    <row r="280" spans="1:7">
      <c r="A280" s="972" t="str">
        <f>A36</f>
        <v>AO V/PAYROLL CLERK</v>
      </c>
      <c r="B280" s="972"/>
      <c r="C280" s="972"/>
      <c r="D280" s="72"/>
      <c r="E280" s="972" t="str">
        <f>A280</f>
        <v>AO V/PAYROLL CLERK</v>
      </c>
      <c r="F280" s="972"/>
      <c r="G280" s="972"/>
    </row>
    <row r="281" spans="1:7">
      <c r="A281" s="71"/>
      <c r="B281" s="71"/>
      <c r="C281" s="71"/>
      <c r="D281" s="72"/>
      <c r="E281" s="71"/>
      <c r="F281" s="71"/>
      <c r="G281" s="71"/>
    </row>
    <row r="282" spans="1:7">
      <c r="A282" s="71"/>
      <c r="B282" s="71"/>
      <c r="C282" s="71"/>
      <c r="D282" s="72"/>
      <c r="E282" s="71"/>
      <c r="F282" s="71"/>
      <c r="G282" s="71"/>
    </row>
    <row r="283" spans="1:7">
      <c r="A283" s="972" t="s">
        <v>0</v>
      </c>
      <c r="B283" s="972"/>
      <c r="C283" s="972"/>
      <c r="D283" s="72"/>
      <c r="E283" s="972" t="s">
        <v>0</v>
      </c>
      <c r="F283" s="972"/>
      <c r="G283" s="972"/>
    </row>
    <row r="284" spans="1:7">
      <c r="A284" s="972" t="s">
        <v>1</v>
      </c>
      <c r="B284" s="972"/>
      <c r="C284" s="972"/>
      <c r="D284" s="72"/>
      <c r="E284" s="972" t="s">
        <v>1</v>
      </c>
      <c r="F284" s="972"/>
      <c r="G284" s="972"/>
    </row>
    <row r="285" spans="1:7">
      <c r="A285" s="972" t="s">
        <v>441</v>
      </c>
      <c r="B285" s="972"/>
      <c r="C285" s="972"/>
      <c r="D285" s="72"/>
      <c r="E285" s="972" t="s">
        <v>441</v>
      </c>
      <c r="F285" s="972"/>
      <c r="G285" s="972"/>
    </row>
    <row r="286" spans="1:7">
      <c r="A286" s="972" t="s">
        <v>342</v>
      </c>
      <c r="B286" s="972"/>
      <c r="C286" s="972"/>
      <c r="D286" s="72"/>
      <c r="E286" s="972" t="s">
        <v>342</v>
      </c>
      <c r="F286" s="972"/>
      <c r="G286" s="972"/>
    </row>
    <row r="287" spans="1:7">
      <c r="A287" s="972" t="s">
        <v>442</v>
      </c>
      <c r="B287" s="972"/>
      <c r="C287" s="972"/>
      <c r="D287" s="72"/>
      <c r="E287" s="972" t="s">
        <v>442</v>
      </c>
      <c r="F287" s="972"/>
      <c r="G287" s="972"/>
    </row>
    <row r="288" spans="1:7">
      <c r="A288" s="72" t="s">
        <v>443</v>
      </c>
      <c r="B288" s="974" t="str">
        <f>'payroll(FEB)'!C23</f>
        <v>SANTIAGO G. MALALUAN</v>
      </c>
      <c r="C288" s="976"/>
      <c r="D288" s="72"/>
      <c r="E288" s="72" t="s">
        <v>443</v>
      </c>
      <c r="F288" s="974" t="str">
        <f>'payroll(FEB)'!C24</f>
        <v>CELESTE M. SALVANERA</v>
      </c>
      <c r="G288" s="976"/>
    </row>
    <row r="289" spans="1:7">
      <c r="A289" s="72" t="s">
        <v>444</v>
      </c>
      <c r="B289" s="974" t="str">
        <f>'payroll(FEB)'!D23</f>
        <v>AGII</v>
      </c>
      <c r="C289" s="976"/>
      <c r="D289" s="72"/>
      <c r="E289" s="72" t="s">
        <v>444</v>
      </c>
      <c r="F289" s="974" t="str">
        <f>'payroll(FEB)'!D24</f>
        <v xml:space="preserve">SR AG </v>
      </c>
      <c r="G289" s="976"/>
    </row>
    <row r="290" spans="1:7">
      <c r="A290" s="72" t="s">
        <v>446</v>
      </c>
      <c r="B290" s="975" t="str">
        <f>B249</f>
        <v>2/1-28/2026</v>
      </c>
      <c r="C290" s="976"/>
      <c r="D290" s="72"/>
      <c r="E290" s="72" t="s">
        <v>446</v>
      </c>
      <c r="F290" s="975" t="str">
        <f>B290</f>
        <v>2/1-28/2026</v>
      </c>
      <c r="G290" s="976"/>
    </row>
    <row r="291" spans="1:7">
      <c r="A291" s="77" t="s">
        <v>447</v>
      </c>
      <c r="B291" s="78"/>
      <c r="C291" s="88">
        <f>'payroll(FEB)'!E23</f>
        <v>43090</v>
      </c>
      <c r="D291" s="77"/>
      <c r="E291" s="77" t="s">
        <v>447</v>
      </c>
      <c r="F291" s="78"/>
      <c r="G291" s="88">
        <f>'payroll(FEB)'!E24</f>
        <v>51304</v>
      </c>
    </row>
    <row r="292" spans="1:7">
      <c r="A292" s="77" t="s">
        <v>30</v>
      </c>
      <c r="B292" s="81"/>
      <c r="C292" s="80">
        <f>'payroll(FEB)'!AC23</f>
        <v>2000</v>
      </c>
      <c r="D292" s="77"/>
      <c r="E292" s="77" t="s">
        <v>30</v>
      </c>
      <c r="F292" s="78"/>
      <c r="G292" s="88">
        <f>'payroll(FEB)'!AC24</f>
        <v>2000</v>
      </c>
    </row>
    <row r="293" spans="1:7">
      <c r="A293" s="72" t="s">
        <v>449</v>
      </c>
      <c r="B293" s="72"/>
      <c r="C293" s="92"/>
      <c r="D293" s="72"/>
      <c r="E293" s="72" t="s">
        <v>449</v>
      </c>
      <c r="F293" s="72"/>
      <c r="G293" s="92"/>
    </row>
    <row r="294" spans="1:7">
      <c r="A294" s="72" t="s">
        <v>134</v>
      </c>
      <c r="B294" s="82"/>
      <c r="C294" s="92"/>
      <c r="D294" s="72"/>
      <c r="E294" s="72" t="s">
        <v>134</v>
      </c>
      <c r="F294" s="82"/>
      <c r="G294" s="92"/>
    </row>
    <row r="295" spans="1:7">
      <c r="A295" s="72" t="s">
        <v>451</v>
      </c>
      <c r="B295" s="82"/>
      <c r="C295" s="92"/>
      <c r="D295" s="72"/>
      <c r="E295" s="72" t="s">
        <v>451</v>
      </c>
      <c r="F295" s="82"/>
      <c r="G295" s="92"/>
    </row>
    <row r="296" spans="1:7">
      <c r="A296" s="72" t="s">
        <v>452</v>
      </c>
      <c r="B296" s="82"/>
      <c r="C296" s="92">
        <f>'[1]DEC 2015'!J34</f>
        <v>0</v>
      </c>
      <c r="D296" s="72"/>
      <c r="E296" s="72" t="s">
        <v>452</v>
      </c>
      <c r="F296" s="82"/>
      <c r="G296" s="92">
        <f>'[1]DEC 2015'!J35</f>
        <v>0</v>
      </c>
    </row>
    <row r="297" spans="1:7">
      <c r="A297" s="72" t="s">
        <v>453</v>
      </c>
      <c r="B297" s="82"/>
      <c r="C297" s="92">
        <f>WTAX!H23</f>
        <v>204.04</v>
      </c>
      <c r="D297" s="72"/>
      <c r="E297" s="72" t="s">
        <v>453</v>
      </c>
      <c r="F297" s="82"/>
      <c r="G297" s="92">
        <f>WTAX!H24</f>
        <v>5518.71</v>
      </c>
    </row>
    <row r="298" spans="1:7">
      <c r="A298" s="72" t="s">
        <v>454</v>
      </c>
      <c r="B298" s="82"/>
      <c r="C298" s="92"/>
      <c r="D298" s="72"/>
      <c r="E298" s="72" t="s">
        <v>454</v>
      </c>
      <c r="F298" s="82"/>
      <c r="G298" s="92"/>
    </row>
    <row r="299" spans="1:7">
      <c r="A299" s="72" t="s">
        <v>455</v>
      </c>
      <c r="B299" s="82"/>
      <c r="C299" s="92"/>
      <c r="D299" s="72"/>
      <c r="E299" s="72" t="s">
        <v>455</v>
      </c>
      <c r="F299" s="82"/>
      <c r="G299" s="92"/>
    </row>
    <row r="300" spans="1:7">
      <c r="A300" s="72" t="s">
        <v>456</v>
      </c>
      <c r="B300" s="82"/>
      <c r="C300" s="92">
        <f>'PHIC (1)'!W27</f>
        <v>1077.25</v>
      </c>
      <c r="D300" s="72"/>
      <c r="E300" s="72" t="s">
        <v>456</v>
      </c>
      <c r="F300" s="82"/>
      <c r="G300" s="92">
        <f>'PHIC (1)'!W28</f>
        <v>1282.5999999999999</v>
      </c>
    </row>
    <row r="301" spans="1:7">
      <c r="A301" s="72" t="s">
        <v>457</v>
      </c>
      <c r="B301" s="82"/>
      <c r="C301" s="92">
        <f>' gsis'!I29</f>
        <v>3878.1</v>
      </c>
      <c r="D301" s="72"/>
      <c r="E301" s="72" t="s">
        <v>457</v>
      </c>
      <c r="F301" s="82"/>
      <c r="G301" s="92">
        <f>' gsis'!$I$30</f>
        <v>4617.3599999999997</v>
      </c>
    </row>
    <row r="302" spans="1:7">
      <c r="A302" s="72" t="s">
        <v>104</v>
      </c>
      <c r="B302" s="82"/>
      <c r="C302" s="92">
        <f>'PAG-IBIG'!H27</f>
        <v>200</v>
      </c>
      <c r="D302" s="72"/>
      <c r="E302" s="72" t="s">
        <v>104</v>
      </c>
      <c r="F302" s="82"/>
      <c r="G302" s="92">
        <f>'PAG-IBIG'!H28</f>
        <v>200</v>
      </c>
    </row>
    <row r="303" spans="1:7">
      <c r="A303" s="72" t="s">
        <v>111</v>
      </c>
      <c r="B303" s="82"/>
      <c r="C303" s="92"/>
      <c r="D303" s="72"/>
      <c r="E303" s="72" t="s">
        <v>111</v>
      </c>
      <c r="F303" s="82"/>
      <c r="G303" s="92"/>
    </row>
    <row r="304" spans="1:7">
      <c r="A304" s="72" t="s">
        <v>125</v>
      </c>
      <c r="B304" s="82"/>
      <c r="C304" s="92"/>
      <c r="D304" s="72"/>
      <c r="E304" s="72" t="s">
        <v>125</v>
      </c>
      <c r="F304" s="82"/>
      <c r="G304" s="92"/>
    </row>
    <row r="305" spans="1:9">
      <c r="A305" s="72" t="s">
        <v>124</v>
      </c>
      <c r="B305" s="82"/>
      <c r="C305" s="92"/>
      <c r="D305" s="72"/>
      <c r="E305" s="72" t="s">
        <v>124</v>
      </c>
      <c r="F305" s="82"/>
      <c r="G305" s="92"/>
    </row>
    <row r="306" spans="1:9">
      <c r="A306" s="72" t="s">
        <v>458</v>
      </c>
      <c r="B306" s="82"/>
      <c r="C306" s="92">
        <f>CNGWMPC!S28</f>
        <v>5692.44</v>
      </c>
      <c r="D306" s="72"/>
      <c r="E306" s="72" t="s">
        <v>458</v>
      </c>
      <c r="F306" s="82"/>
      <c r="G306" s="92">
        <f>CNGWMPC!S29</f>
        <v>800.89</v>
      </c>
    </row>
    <row r="307" spans="1:9">
      <c r="A307" s="72" t="s">
        <v>459</v>
      </c>
      <c r="B307" s="82"/>
      <c r="C307" s="92"/>
      <c r="D307" s="72"/>
      <c r="E307" s="72" t="s">
        <v>459</v>
      </c>
      <c r="F307" s="82"/>
      <c r="G307" s="92"/>
    </row>
    <row r="308" spans="1:9">
      <c r="A308" s="72" t="s">
        <v>476</v>
      </c>
      <c r="B308" s="82"/>
      <c r="C308" s="92">
        <f>' gsis'!$R$29</f>
        <v>6433.73</v>
      </c>
      <c r="D308" s="72"/>
      <c r="E308" s="72" t="s">
        <v>455</v>
      </c>
      <c r="F308" s="82"/>
      <c r="G308" s="92">
        <f>' gsis'!$M$30</f>
        <v>100</v>
      </c>
    </row>
    <row r="309" spans="1:9">
      <c r="A309" s="72" t="s">
        <v>499</v>
      </c>
      <c r="B309" s="82"/>
      <c r="C309" s="92"/>
      <c r="D309" s="72"/>
      <c r="E309" s="72" t="s">
        <v>500</v>
      </c>
      <c r="F309" s="82"/>
      <c r="G309" s="92"/>
    </row>
    <row r="310" spans="1:9">
      <c r="A310" s="72" t="s">
        <v>464</v>
      </c>
      <c r="B310" s="82"/>
      <c r="C310" s="92"/>
      <c r="D310" s="72"/>
      <c r="E310" s="72" t="s">
        <v>464</v>
      </c>
      <c r="F310" s="82"/>
      <c r="G310" s="92"/>
    </row>
    <row r="311" spans="1:9">
      <c r="A311" s="72" t="s">
        <v>465</v>
      </c>
      <c r="B311" s="82"/>
      <c r="C311" s="92">
        <f>' gsis'!$N$29</f>
        <v>0</v>
      </c>
      <c r="D311" s="72"/>
      <c r="E311" s="72" t="s">
        <v>501</v>
      </c>
      <c r="F311" s="82"/>
      <c r="G311" s="92"/>
    </row>
    <row r="312" spans="1:9">
      <c r="A312" s="72" t="s">
        <v>467</v>
      </c>
      <c r="B312" s="82"/>
      <c r="C312" s="92">
        <f>' gsis'!$Q$29</f>
        <v>9634.44</v>
      </c>
      <c r="D312" s="72"/>
      <c r="E312" s="72" t="s">
        <v>482</v>
      </c>
      <c r="F312" s="82"/>
      <c r="G312" s="92"/>
    </row>
    <row r="313" spans="1:9">
      <c r="A313" s="72" t="s">
        <v>497</v>
      </c>
      <c r="B313" s="82"/>
      <c r="C313" s="92"/>
      <c r="D313" s="72"/>
      <c r="E313" s="72" t="s">
        <v>467</v>
      </c>
      <c r="F313" s="82"/>
      <c r="G313" s="92">
        <f>' gsis'!$Q$30</f>
        <v>9634.44</v>
      </c>
    </row>
    <row r="314" spans="1:9">
      <c r="A314" s="72"/>
      <c r="B314" s="84"/>
      <c r="C314" s="70"/>
      <c r="D314" s="72"/>
      <c r="E314" s="72"/>
      <c r="F314" s="82"/>
      <c r="G314" s="92"/>
    </row>
    <row r="315" spans="1:9">
      <c r="A315" s="77" t="s">
        <v>470</v>
      </c>
      <c r="B315" s="82"/>
      <c r="C315" s="88">
        <f>SUM(C294:C312)</f>
        <v>27120</v>
      </c>
      <c r="D315" s="77"/>
      <c r="E315" s="77" t="s">
        <v>470</v>
      </c>
      <c r="F315" s="82"/>
      <c r="G315" s="88">
        <f>SUM(G294:G313)</f>
        <v>22154</v>
      </c>
    </row>
    <row r="316" spans="1:9">
      <c r="A316" s="77" t="s">
        <v>471</v>
      </c>
      <c r="B316" s="82"/>
      <c r="C316" s="80">
        <f>C291+C292-C315</f>
        <v>17970</v>
      </c>
      <c r="D316" s="77"/>
      <c r="E316" s="77" t="s">
        <v>471</v>
      </c>
      <c r="F316" s="82"/>
      <c r="G316" s="80">
        <f>G291+G292-G315</f>
        <v>31150</v>
      </c>
    </row>
    <row r="317" spans="1:9">
      <c r="A317" s="77"/>
      <c r="B317" s="77"/>
      <c r="C317" s="77"/>
      <c r="D317" s="77"/>
      <c r="E317" s="77"/>
      <c r="F317" s="77"/>
      <c r="G317" s="77"/>
    </row>
    <row r="318" spans="1:9">
      <c r="A318" s="77"/>
      <c r="B318" s="77"/>
      <c r="C318" s="77"/>
      <c r="D318" s="77"/>
      <c r="E318" s="77"/>
      <c r="F318" s="77"/>
      <c r="G318" s="77"/>
    </row>
    <row r="319" spans="1:9">
      <c r="A319" s="77"/>
      <c r="B319" s="77" t="s">
        <v>173</v>
      </c>
      <c r="C319" s="77"/>
      <c r="D319" s="77"/>
      <c r="E319" s="77"/>
      <c r="F319" s="77" t="s">
        <v>173</v>
      </c>
      <c r="G319" s="77"/>
      <c r="H319" s="77"/>
      <c r="I319" s="77"/>
    </row>
    <row r="320" spans="1:9">
      <c r="A320" s="77"/>
      <c r="B320" s="72" t="str">
        <f>A280</f>
        <v>AO V/PAYROLL CLERK</v>
      </c>
      <c r="C320" s="72"/>
      <c r="D320" s="72"/>
      <c r="E320" s="77"/>
      <c r="F320" s="978" t="str">
        <f>B320</f>
        <v>AO V/PAYROLL CLERK</v>
      </c>
      <c r="G320" s="978"/>
      <c r="H320" s="978"/>
      <c r="I320" s="978"/>
    </row>
    <row r="321" spans="1:9">
      <c r="A321" s="77"/>
      <c r="B321" s="72"/>
      <c r="C321" s="72"/>
      <c r="D321" s="72"/>
      <c r="E321" s="77"/>
      <c r="F321" s="75"/>
      <c r="G321" s="75"/>
      <c r="H321" s="75"/>
      <c r="I321" s="75"/>
    </row>
    <row r="322" spans="1:9">
      <c r="A322" s="972" t="s">
        <v>0</v>
      </c>
      <c r="B322" s="972"/>
      <c r="C322" s="972"/>
      <c r="D322" s="72"/>
      <c r="E322" s="972" t="s">
        <v>0</v>
      </c>
      <c r="F322" s="972"/>
      <c r="G322" s="972"/>
    </row>
    <row r="323" spans="1:9">
      <c r="A323" s="972" t="s">
        <v>1</v>
      </c>
      <c r="B323" s="972"/>
      <c r="C323" s="972"/>
      <c r="D323" s="72"/>
      <c r="E323" s="972" t="s">
        <v>1</v>
      </c>
      <c r="F323" s="972"/>
      <c r="G323" s="972"/>
    </row>
    <row r="324" spans="1:9">
      <c r="A324" s="972" t="s">
        <v>441</v>
      </c>
      <c r="B324" s="972"/>
      <c r="C324" s="972"/>
      <c r="D324" s="72"/>
      <c r="E324" s="972" t="s">
        <v>441</v>
      </c>
      <c r="F324" s="972"/>
      <c r="G324" s="972"/>
    </row>
    <row r="325" spans="1:9">
      <c r="A325" s="972" t="s">
        <v>342</v>
      </c>
      <c r="B325" s="972"/>
      <c r="C325" s="972"/>
      <c r="D325" s="72"/>
      <c r="E325" s="972" t="s">
        <v>342</v>
      </c>
      <c r="F325" s="972"/>
      <c r="G325" s="972"/>
    </row>
    <row r="326" spans="1:9">
      <c r="A326" s="972" t="s">
        <v>442</v>
      </c>
      <c r="B326" s="972"/>
      <c r="C326" s="972"/>
      <c r="D326" s="72"/>
      <c r="E326" s="972" t="s">
        <v>442</v>
      </c>
      <c r="F326" s="972"/>
      <c r="G326" s="972"/>
    </row>
    <row r="327" spans="1:9">
      <c r="A327" s="72" t="s">
        <v>443</v>
      </c>
      <c r="B327" s="974"/>
      <c r="C327" s="976"/>
      <c r="D327" s="72"/>
      <c r="E327" s="72" t="s">
        <v>443</v>
      </c>
      <c r="F327" s="974" t="str">
        <f>'payroll(FEB)'!C25</f>
        <v>ALGEM MARIE J. CLACIO</v>
      </c>
      <c r="G327" s="976"/>
    </row>
    <row r="328" spans="1:9">
      <c r="A328" s="72" t="s">
        <v>444</v>
      </c>
      <c r="B328" s="974"/>
      <c r="C328" s="976"/>
      <c r="D328" s="72"/>
      <c r="E328" s="72" t="s">
        <v>444</v>
      </c>
      <c r="F328" s="974" t="str">
        <f>'payroll(FEB)'!D25</f>
        <v>AOIII</v>
      </c>
      <c r="G328" s="976"/>
    </row>
    <row r="329" spans="1:9">
      <c r="A329" s="72" t="s">
        <v>446</v>
      </c>
      <c r="B329" s="975" t="str">
        <f>B290</f>
        <v>2/1-28/2026</v>
      </c>
      <c r="C329" s="976"/>
      <c r="D329" s="72"/>
      <c r="E329" s="72" t="s">
        <v>446</v>
      </c>
      <c r="F329" s="975" t="str">
        <f>B329</f>
        <v>2/1-28/2026</v>
      </c>
      <c r="G329" s="976"/>
    </row>
    <row r="330" spans="1:9">
      <c r="A330" s="77" t="s">
        <v>447</v>
      </c>
      <c r="B330" s="78"/>
      <c r="C330" s="88"/>
      <c r="D330" s="77"/>
      <c r="E330" s="77" t="s">
        <v>447</v>
      </c>
      <c r="F330" s="78"/>
      <c r="G330" s="88">
        <f>'payroll(FEB)'!E25</f>
        <v>37024</v>
      </c>
    </row>
    <row r="331" spans="1:9">
      <c r="A331" s="77" t="s">
        <v>30</v>
      </c>
      <c r="B331" s="77"/>
      <c r="C331" s="93"/>
      <c r="D331" s="77"/>
      <c r="E331" s="77" t="s">
        <v>30</v>
      </c>
      <c r="F331" s="78"/>
      <c r="G331" s="93">
        <f>'payroll(FEB)'!AC25</f>
        <v>2000</v>
      </c>
    </row>
    <row r="332" spans="1:9">
      <c r="A332" s="72" t="s">
        <v>449</v>
      </c>
      <c r="B332" s="72"/>
      <c r="C332" s="92"/>
      <c r="D332" s="72"/>
      <c r="E332" s="72" t="s">
        <v>449</v>
      </c>
      <c r="F332" s="72"/>
      <c r="G332" s="92"/>
    </row>
    <row r="333" spans="1:9">
      <c r="A333" s="72" t="s">
        <v>134</v>
      </c>
      <c r="B333" s="82"/>
      <c r="C333" s="92"/>
      <c r="D333" s="72"/>
      <c r="E333" s="72" t="s">
        <v>134</v>
      </c>
      <c r="F333" s="82"/>
      <c r="G333" s="92"/>
    </row>
    <row r="334" spans="1:9">
      <c r="A334" s="72" t="s">
        <v>451</v>
      </c>
      <c r="B334" s="82"/>
      <c r="C334" s="92"/>
      <c r="D334" s="72"/>
      <c r="E334" s="72" t="s">
        <v>451</v>
      </c>
      <c r="F334" s="82"/>
      <c r="G334" s="92"/>
    </row>
    <row r="335" spans="1:9">
      <c r="A335" s="72" t="s">
        <v>452</v>
      </c>
      <c r="B335" s="82"/>
      <c r="C335" s="92"/>
      <c r="D335" s="72"/>
      <c r="E335" s="72" t="s">
        <v>452</v>
      </c>
      <c r="F335" s="82"/>
      <c r="G335" s="92"/>
    </row>
    <row r="336" spans="1:9">
      <c r="A336" s="72" t="s">
        <v>453</v>
      </c>
      <c r="B336" s="82"/>
      <c r="C336" s="92"/>
      <c r="D336" s="72"/>
      <c r="E336" s="72" t="s">
        <v>453</v>
      </c>
      <c r="F336" s="82"/>
      <c r="G336" s="92">
        <f>WTAX!H25</f>
        <v>2302.9299999999998</v>
      </c>
    </row>
    <row r="337" spans="1:7">
      <c r="A337" s="72" t="s">
        <v>454</v>
      </c>
      <c r="B337" s="82"/>
      <c r="C337" s="92"/>
      <c r="D337" s="72"/>
      <c r="E337" s="72" t="s">
        <v>454</v>
      </c>
      <c r="F337" s="82"/>
      <c r="G337" s="92"/>
    </row>
    <row r="338" spans="1:7">
      <c r="A338" s="72" t="s">
        <v>455</v>
      </c>
      <c r="B338" s="82"/>
      <c r="C338" s="92"/>
      <c r="D338" s="72"/>
      <c r="E338" s="72" t="s">
        <v>455</v>
      </c>
      <c r="F338" s="82"/>
      <c r="G338" s="92"/>
    </row>
    <row r="339" spans="1:7">
      <c r="A339" s="72" t="s">
        <v>456</v>
      </c>
      <c r="B339" s="82"/>
      <c r="C339" s="92"/>
      <c r="D339" s="72"/>
      <c r="E339" s="72" t="s">
        <v>456</v>
      </c>
      <c r="F339" s="82"/>
      <c r="G339" s="92">
        <f>'PHIC (1)'!W29</f>
        <v>925.6</v>
      </c>
    </row>
    <row r="340" spans="1:7">
      <c r="A340" s="72" t="s">
        <v>457</v>
      </c>
      <c r="B340" s="82"/>
      <c r="C340" s="92"/>
      <c r="D340" s="72"/>
      <c r="E340" s="72" t="s">
        <v>457</v>
      </c>
      <c r="F340" s="82"/>
      <c r="G340" s="92">
        <f>'payroll(FEB)'!F25</f>
        <v>3332.16</v>
      </c>
    </row>
    <row r="341" spans="1:7">
      <c r="A341" s="72" t="s">
        <v>104</v>
      </c>
      <c r="B341" s="82"/>
      <c r="C341" s="92"/>
      <c r="D341" s="72"/>
      <c r="E341" s="72" t="s">
        <v>104</v>
      </c>
      <c r="F341" s="82"/>
      <c r="G341" s="92">
        <f>'PAG-IBIG'!H29</f>
        <v>200</v>
      </c>
    </row>
    <row r="342" spans="1:7">
      <c r="A342" s="72" t="s">
        <v>111</v>
      </c>
      <c r="B342" s="82"/>
      <c r="C342" s="92"/>
      <c r="D342" s="72"/>
      <c r="E342" s="72" t="s">
        <v>111</v>
      </c>
      <c r="F342" s="82"/>
      <c r="G342" s="92"/>
    </row>
    <row r="343" spans="1:7">
      <c r="A343" s="72" t="s">
        <v>125</v>
      </c>
      <c r="B343" s="82"/>
      <c r="C343" s="92"/>
      <c r="D343" s="72"/>
      <c r="E343" s="72" t="s">
        <v>125</v>
      </c>
      <c r="F343" s="82"/>
      <c r="G343" s="92"/>
    </row>
    <row r="344" spans="1:7">
      <c r="A344" s="72" t="s">
        <v>124</v>
      </c>
      <c r="B344" s="82"/>
      <c r="C344" s="92"/>
      <c r="D344" s="72"/>
      <c r="E344" s="72" t="s">
        <v>124</v>
      </c>
      <c r="F344" s="82"/>
      <c r="G344" s="92"/>
    </row>
    <row r="345" spans="1:7">
      <c r="A345" s="72" t="s">
        <v>458</v>
      </c>
      <c r="B345" s="82"/>
      <c r="C345" s="92"/>
      <c r="D345" s="72"/>
      <c r="E345" s="72" t="s">
        <v>458</v>
      </c>
      <c r="F345" s="82"/>
      <c r="G345" s="92">
        <f>CNGWMPC!S30</f>
        <v>10646.64</v>
      </c>
    </row>
    <row r="346" spans="1:7">
      <c r="A346" s="72" t="s">
        <v>459</v>
      </c>
      <c r="B346" s="82"/>
      <c r="C346" s="92"/>
      <c r="D346" s="72"/>
      <c r="E346" s="72" t="s">
        <v>459</v>
      </c>
      <c r="F346" s="82"/>
      <c r="G346" s="92"/>
    </row>
    <row r="347" spans="1:7">
      <c r="A347" s="72" t="s">
        <v>468</v>
      </c>
      <c r="B347" s="82"/>
      <c r="C347" s="92"/>
      <c r="D347" s="72"/>
      <c r="E347" s="72" t="s">
        <v>467</v>
      </c>
      <c r="F347" s="82"/>
      <c r="G347" s="92"/>
    </row>
    <row r="348" spans="1:7">
      <c r="A348" s="72" t="s">
        <v>500</v>
      </c>
      <c r="B348" s="82"/>
      <c r="C348" s="98"/>
      <c r="D348" s="72"/>
      <c r="E348" s="72" t="s">
        <v>465</v>
      </c>
      <c r="F348" s="82"/>
      <c r="G348" s="92"/>
    </row>
    <row r="349" spans="1:7">
      <c r="A349" s="72" t="s">
        <v>464</v>
      </c>
      <c r="B349" s="82"/>
      <c r="C349" s="92"/>
      <c r="D349" s="72"/>
      <c r="E349" s="72" t="s">
        <v>464</v>
      </c>
      <c r="F349" s="82"/>
      <c r="G349" s="92"/>
    </row>
    <row r="350" spans="1:7">
      <c r="A350" s="72" t="s">
        <v>465</v>
      </c>
      <c r="B350" s="82"/>
      <c r="C350" s="92"/>
      <c r="D350" s="72"/>
      <c r="E350" s="72" t="s">
        <v>501</v>
      </c>
      <c r="F350" s="82"/>
      <c r="G350" s="92"/>
    </row>
    <row r="351" spans="1:7">
      <c r="A351" s="72" t="s">
        <v>482</v>
      </c>
      <c r="B351" s="82"/>
      <c r="C351" s="92"/>
      <c r="D351" s="72"/>
      <c r="E351" s="72" t="s">
        <v>699</v>
      </c>
      <c r="F351" s="82"/>
      <c r="G351" s="92">
        <f>' gsis'!P31</f>
        <v>1966.67</v>
      </c>
    </row>
    <row r="352" spans="1:7">
      <c r="A352" s="72" t="s">
        <v>503</v>
      </c>
      <c r="B352" s="82"/>
      <c r="C352" s="92"/>
      <c r="D352" s="72"/>
      <c r="E352" s="72" t="s">
        <v>497</v>
      </c>
      <c r="F352" s="82"/>
      <c r="G352" s="92"/>
    </row>
    <row r="353" spans="1:7">
      <c r="A353" s="72"/>
      <c r="B353" s="72"/>
      <c r="C353" s="85"/>
      <c r="D353" s="72"/>
      <c r="E353" s="72"/>
      <c r="F353" s="82"/>
      <c r="G353" s="85"/>
    </row>
    <row r="354" spans="1:7">
      <c r="A354" s="77" t="s">
        <v>470</v>
      </c>
      <c r="B354" s="99"/>
      <c r="C354" s="88">
        <f>SUM(B333:C352)</f>
        <v>0</v>
      </c>
      <c r="D354" s="80"/>
      <c r="E354" s="77" t="s">
        <v>470</v>
      </c>
      <c r="F354" s="82"/>
      <c r="G354" s="88">
        <f>SUM(F333:G352)</f>
        <v>19374</v>
      </c>
    </row>
    <row r="355" spans="1:7">
      <c r="A355" s="77" t="s">
        <v>471</v>
      </c>
      <c r="B355" s="82"/>
      <c r="C355" s="80">
        <f>C330+C331-C354</f>
        <v>0</v>
      </c>
      <c r="D355" s="77"/>
      <c r="E355" s="77" t="s">
        <v>471</v>
      </c>
      <c r="F355" s="82"/>
      <c r="G355" s="80">
        <f>G330+G331-G354</f>
        <v>19650</v>
      </c>
    </row>
    <row r="356" spans="1:7">
      <c r="A356" s="77"/>
      <c r="B356" s="72"/>
      <c r="C356" s="80"/>
      <c r="D356" s="77"/>
      <c r="E356" s="77"/>
      <c r="F356" s="72"/>
      <c r="G356" s="80"/>
    </row>
    <row r="357" spans="1:7">
      <c r="A357" s="77"/>
      <c r="B357" s="77"/>
      <c r="C357" s="77"/>
      <c r="D357" s="77"/>
      <c r="E357" s="77"/>
      <c r="F357" s="77"/>
      <c r="G357" s="77"/>
    </row>
    <row r="358" spans="1:7">
      <c r="A358" s="973" t="s">
        <v>173</v>
      </c>
      <c r="B358" s="973"/>
      <c r="C358" s="973"/>
      <c r="D358" s="77"/>
      <c r="E358" s="973" t="s">
        <v>173</v>
      </c>
      <c r="F358" s="973"/>
      <c r="G358" s="973"/>
    </row>
    <row r="359" spans="1:7">
      <c r="A359" s="972" t="s">
        <v>504</v>
      </c>
      <c r="B359" s="972"/>
      <c r="C359" s="972"/>
      <c r="D359" s="72"/>
      <c r="E359" s="972" t="str">
        <f>F320</f>
        <v>AO V/PAYROLL CLERK</v>
      </c>
      <c r="F359" s="972"/>
      <c r="G359" s="972"/>
    </row>
    <row r="360" spans="1:7">
      <c r="A360" s="71"/>
      <c r="B360" s="71"/>
      <c r="C360" s="71"/>
      <c r="D360" s="72"/>
      <c r="E360" s="71"/>
      <c r="F360" s="71"/>
      <c r="G360" s="71"/>
    </row>
    <row r="361" spans="1:7">
      <c r="A361" s="71"/>
      <c r="B361" s="71"/>
      <c r="C361" s="71"/>
      <c r="D361" s="72"/>
      <c r="E361" s="71"/>
      <c r="F361" s="71"/>
      <c r="G361" s="71"/>
    </row>
    <row r="362" spans="1:7">
      <c r="A362" s="972" t="s">
        <v>0</v>
      </c>
      <c r="B362" s="972"/>
      <c r="C362" s="972"/>
      <c r="D362" s="72"/>
      <c r="E362" s="972" t="s">
        <v>0</v>
      </c>
      <c r="F362" s="972"/>
      <c r="G362" s="972"/>
    </row>
    <row r="363" spans="1:7">
      <c r="A363" s="972" t="s">
        <v>1</v>
      </c>
      <c r="B363" s="972"/>
      <c r="C363" s="972"/>
      <c r="D363" s="72"/>
      <c r="E363" s="972" t="s">
        <v>1</v>
      </c>
      <c r="F363" s="972"/>
      <c r="G363" s="972"/>
    </row>
    <row r="364" spans="1:7">
      <c r="A364" s="972" t="s">
        <v>441</v>
      </c>
      <c r="B364" s="972"/>
      <c r="C364" s="972"/>
      <c r="D364" s="72"/>
      <c r="E364" s="972" t="s">
        <v>441</v>
      </c>
      <c r="F364" s="972"/>
      <c r="G364" s="972"/>
    </row>
    <row r="365" spans="1:7">
      <c r="A365" s="972" t="s">
        <v>342</v>
      </c>
      <c r="B365" s="972"/>
      <c r="C365" s="972"/>
      <c r="D365" s="72"/>
      <c r="E365" s="972" t="s">
        <v>342</v>
      </c>
      <c r="F365" s="972"/>
      <c r="G365" s="972"/>
    </row>
    <row r="366" spans="1:7">
      <c r="A366" s="972" t="s">
        <v>442</v>
      </c>
      <c r="B366" s="972"/>
      <c r="C366" s="972"/>
      <c r="D366" s="72"/>
      <c r="E366" s="972" t="s">
        <v>442</v>
      </c>
      <c r="F366" s="972"/>
      <c r="G366" s="972"/>
    </row>
    <row r="367" spans="1:7">
      <c r="A367" s="72" t="s">
        <v>443</v>
      </c>
      <c r="B367" s="974" t="str">
        <f>'payroll(FEB)'!C26</f>
        <v>CHRISTINE L. PALAD</v>
      </c>
      <c r="C367" s="976"/>
      <c r="D367" s="72"/>
      <c r="E367" s="72" t="s">
        <v>443</v>
      </c>
      <c r="F367" s="974"/>
      <c r="G367" s="976"/>
    </row>
    <row r="368" spans="1:7">
      <c r="A368" s="72" t="s">
        <v>444</v>
      </c>
      <c r="B368" s="974" t="str">
        <f>'payroll(FEB)'!D26</f>
        <v>AT</v>
      </c>
      <c r="C368" s="976"/>
      <c r="D368" s="72"/>
      <c r="E368" s="72" t="s">
        <v>444</v>
      </c>
      <c r="F368" s="974"/>
      <c r="G368" s="976"/>
    </row>
    <row r="369" spans="1:7">
      <c r="A369" s="72" t="s">
        <v>446</v>
      </c>
      <c r="B369" s="975" t="str">
        <f>B329</f>
        <v>2/1-28/2026</v>
      </c>
      <c r="C369" s="975"/>
      <c r="D369" s="72"/>
      <c r="E369" s="72" t="s">
        <v>446</v>
      </c>
      <c r="F369" s="975" t="str">
        <f>B369</f>
        <v>2/1-28/2026</v>
      </c>
      <c r="G369" s="976"/>
    </row>
    <row r="370" spans="1:7">
      <c r="A370" s="77" t="s">
        <v>447</v>
      </c>
      <c r="B370" s="78"/>
      <c r="C370" s="88">
        <f>'payroll(FEB)'!E26</f>
        <v>25996</v>
      </c>
      <c r="D370" s="77"/>
      <c r="E370" s="77" t="s">
        <v>447</v>
      </c>
      <c r="F370" s="78"/>
      <c r="G370" s="88"/>
    </row>
    <row r="371" spans="1:7">
      <c r="A371" s="77" t="s">
        <v>30</v>
      </c>
      <c r="B371" s="77"/>
      <c r="C371" s="93">
        <f>'payroll(FEB)'!AC26</f>
        <v>2000</v>
      </c>
      <c r="D371" s="77"/>
      <c r="E371" s="77" t="s">
        <v>30</v>
      </c>
      <c r="F371" s="78"/>
      <c r="G371" s="93"/>
    </row>
    <row r="372" spans="1:7">
      <c r="A372" s="72" t="s">
        <v>449</v>
      </c>
      <c r="B372" s="72"/>
      <c r="C372" s="88"/>
      <c r="D372" s="72"/>
      <c r="E372" s="72" t="s">
        <v>449</v>
      </c>
      <c r="F372" s="72"/>
      <c r="G372" s="92"/>
    </row>
    <row r="373" spans="1:7">
      <c r="A373" s="72" t="s">
        <v>134</v>
      </c>
      <c r="B373" s="82"/>
      <c r="C373" s="92"/>
      <c r="D373" s="72"/>
      <c r="E373" s="72" t="s">
        <v>134</v>
      </c>
      <c r="F373" s="82"/>
      <c r="G373" s="92"/>
    </row>
    <row r="374" spans="1:7">
      <c r="A374" s="72" t="s">
        <v>451</v>
      </c>
      <c r="B374" s="82"/>
      <c r="C374" s="92"/>
      <c r="D374" s="72"/>
      <c r="E374" s="72" t="s">
        <v>451</v>
      </c>
      <c r="F374" s="82"/>
      <c r="G374" s="92"/>
    </row>
    <row r="375" spans="1:7">
      <c r="A375" s="72" t="s">
        <v>452</v>
      </c>
      <c r="B375" s="82"/>
      <c r="C375" s="92"/>
      <c r="D375" s="72"/>
      <c r="E375" s="72" t="s">
        <v>452</v>
      </c>
      <c r="F375" s="82"/>
      <c r="G375" s="92"/>
    </row>
    <row r="376" spans="1:7">
      <c r="A376" s="72" t="s">
        <v>453</v>
      </c>
      <c r="B376" s="82"/>
      <c r="C376" s="92">
        <f>WTAX!H26</f>
        <v>537</v>
      </c>
      <c r="D376" s="72"/>
      <c r="E376" s="72" t="s">
        <v>453</v>
      </c>
      <c r="F376" s="82"/>
      <c r="G376" s="92"/>
    </row>
    <row r="377" spans="1:7">
      <c r="A377" s="72" t="s">
        <v>454</v>
      </c>
      <c r="B377" s="82"/>
      <c r="C377" s="92"/>
      <c r="D377" s="72"/>
      <c r="E377" s="72" t="s">
        <v>454</v>
      </c>
      <c r="F377" s="82"/>
      <c r="G377" s="92"/>
    </row>
    <row r="378" spans="1:7">
      <c r="A378" s="72" t="s">
        <v>455</v>
      </c>
      <c r="B378" s="82"/>
      <c r="C378" s="92"/>
      <c r="D378" s="72"/>
      <c r="E378" s="72" t="s">
        <v>455</v>
      </c>
      <c r="F378" s="82"/>
      <c r="G378" s="92"/>
    </row>
    <row r="379" spans="1:7">
      <c r="A379" s="72" t="s">
        <v>456</v>
      </c>
      <c r="B379" s="82"/>
      <c r="C379" s="92">
        <f>'PHIC (1)'!W30</f>
        <v>649.9</v>
      </c>
      <c r="D379" s="72"/>
      <c r="E379" s="72" t="s">
        <v>456</v>
      </c>
      <c r="F379" s="82"/>
      <c r="G379" s="92"/>
    </row>
    <row r="380" spans="1:7">
      <c r="A380" s="72" t="s">
        <v>457</v>
      </c>
      <c r="B380" s="82"/>
      <c r="C380" s="92">
        <f>'payroll(FEB)'!F26</f>
        <v>2339.64</v>
      </c>
      <c r="D380" s="70"/>
      <c r="E380" s="72" t="s">
        <v>457</v>
      </c>
      <c r="F380" s="82"/>
      <c r="G380" s="92"/>
    </row>
    <row r="381" spans="1:7">
      <c r="A381" s="72" t="s">
        <v>104</v>
      </c>
      <c r="B381" s="82"/>
      <c r="C381" s="92">
        <f>'PAG-IBIG'!H30</f>
        <v>200</v>
      </c>
      <c r="D381" s="72"/>
      <c r="E381" s="72" t="s">
        <v>104</v>
      </c>
      <c r="F381" s="82"/>
      <c r="G381" s="92"/>
    </row>
    <row r="382" spans="1:7">
      <c r="A382" s="72" t="s">
        <v>111</v>
      </c>
      <c r="B382" s="82"/>
      <c r="C382" s="92"/>
      <c r="D382" s="72"/>
      <c r="E382" s="72" t="s">
        <v>111</v>
      </c>
      <c r="F382" s="82"/>
      <c r="G382" s="92"/>
    </row>
    <row r="383" spans="1:7">
      <c r="A383" s="72" t="s">
        <v>125</v>
      </c>
      <c r="B383" s="82"/>
      <c r="C383" s="92"/>
      <c r="D383" s="72"/>
      <c r="E383" s="72" t="s">
        <v>125</v>
      </c>
      <c r="F383" s="82"/>
      <c r="G383" s="92"/>
    </row>
    <row r="384" spans="1:7">
      <c r="A384" s="72" t="s">
        <v>124</v>
      </c>
      <c r="B384" s="82"/>
      <c r="C384" s="92"/>
      <c r="D384" s="72"/>
      <c r="E384" s="72" t="s">
        <v>124</v>
      </c>
      <c r="F384" s="82"/>
      <c r="G384" s="92"/>
    </row>
    <row r="385" spans="1:7">
      <c r="A385" s="72" t="s">
        <v>458</v>
      </c>
      <c r="B385" s="82"/>
      <c r="C385" s="92">
        <f>CNGWMPC!S31</f>
        <v>1799.46</v>
      </c>
      <c r="D385" s="72"/>
      <c r="E385" s="72" t="s">
        <v>458</v>
      </c>
      <c r="F385" s="82"/>
      <c r="G385" s="92"/>
    </row>
    <row r="386" spans="1:7">
      <c r="A386" s="72" t="s">
        <v>459</v>
      </c>
      <c r="B386" s="82"/>
      <c r="C386" s="92"/>
      <c r="D386" s="72"/>
      <c r="E386" s="72" t="s">
        <v>459</v>
      </c>
      <c r="F386" s="82"/>
      <c r="G386" s="92"/>
    </row>
    <row r="387" spans="1:7">
      <c r="A387" s="72" t="s">
        <v>487</v>
      </c>
      <c r="B387" s="82"/>
      <c r="C387" s="92"/>
      <c r="D387" s="72"/>
      <c r="E387" s="72" t="s">
        <v>460</v>
      </c>
      <c r="F387" s="82"/>
      <c r="G387" s="92"/>
    </row>
    <row r="388" spans="1:7">
      <c r="A388" s="72" t="s">
        <v>467</v>
      </c>
      <c r="B388" s="82"/>
      <c r="C388" s="92"/>
      <c r="D388" s="72"/>
      <c r="E388" s="72" t="s">
        <v>479</v>
      </c>
      <c r="F388" s="82"/>
      <c r="G388" s="92"/>
    </row>
    <row r="389" spans="1:7">
      <c r="A389" s="72" t="s">
        <v>505</v>
      </c>
      <c r="B389" s="82"/>
      <c r="C389" s="92"/>
      <c r="D389" s="72"/>
      <c r="E389" s="72" t="s">
        <v>464</v>
      </c>
      <c r="F389" s="82"/>
      <c r="G389" s="92"/>
    </row>
    <row r="390" spans="1:7">
      <c r="A390" s="72" t="s">
        <v>465</v>
      </c>
      <c r="B390" s="82"/>
      <c r="C390" s="92"/>
      <c r="D390" s="72"/>
      <c r="E390" s="72" t="s">
        <v>465</v>
      </c>
      <c r="F390" s="82"/>
      <c r="G390" s="92"/>
    </row>
    <row r="391" spans="1:7">
      <c r="A391" s="72" t="s">
        <v>506</v>
      </c>
      <c r="B391" s="82"/>
      <c r="C391" s="92"/>
      <c r="D391" s="72"/>
      <c r="E391" s="72" t="s">
        <v>467</v>
      </c>
      <c r="F391" s="82"/>
      <c r="G391" s="92"/>
    </row>
    <row r="392" spans="1:7">
      <c r="A392" s="72" t="s">
        <v>466</v>
      </c>
      <c r="B392" s="82"/>
      <c r="C392" s="92"/>
      <c r="D392" s="72"/>
      <c r="E392" s="72" t="s">
        <v>463</v>
      </c>
      <c r="F392" s="82"/>
      <c r="G392" s="92"/>
    </row>
    <row r="393" spans="1:7">
      <c r="A393" s="72"/>
      <c r="B393" s="72"/>
      <c r="C393" s="85"/>
      <c r="D393" s="72"/>
      <c r="E393" s="72"/>
      <c r="F393" s="82"/>
      <c r="G393" s="85"/>
    </row>
    <row r="394" spans="1:7">
      <c r="A394" s="72"/>
      <c r="B394" s="72"/>
      <c r="C394" s="72"/>
      <c r="D394" s="72"/>
      <c r="E394" s="72"/>
      <c r="F394" s="82"/>
      <c r="G394" s="92"/>
    </row>
    <row r="395" spans="1:7">
      <c r="A395" s="77" t="s">
        <v>470</v>
      </c>
      <c r="B395" s="82"/>
      <c r="C395" s="88">
        <f>SUM(B373:C392)</f>
        <v>5526</v>
      </c>
      <c r="D395" s="77"/>
      <c r="E395" s="77" t="s">
        <v>470</v>
      </c>
      <c r="F395" s="82"/>
      <c r="G395" s="88">
        <f>SUM(F373:G392)</f>
        <v>0</v>
      </c>
    </row>
    <row r="396" spans="1:7">
      <c r="A396" s="77" t="s">
        <v>471</v>
      </c>
      <c r="B396" s="82"/>
      <c r="C396" s="80">
        <f>C370+C371-C395</f>
        <v>22470</v>
      </c>
      <c r="D396" s="77"/>
      <c r="E396" s="77" t="s">
        <v>471</v>
      </c>
      <c r="F396" s="82"/>
      <c r="G396" s="80">
        <f>G370+G371-G395</f>
        <v>0</v>
      </c>
    </row>
    <row r="397" spans="1:7">
      <c r="A397" s="77"/>
      <c r="B397" s="72"/>
      <c r="C397" s="88"/>
      <c r="D397" s="77"/>
      <c r="E397" s="77"/>
      <c r="F397" s="72"/>
      <c r="G397" s="88"/>
    </row>
    <row r="398" spans="1:7">
      <c r="A398" s="72"/>
      <c r="B398" s="72"/>
      <c r="C398" s="72"/>
      <c r="D398" s="72"/>
      <c r="E398" s="72"/>
      <c r="F398" s="72"/>
      <c r="G398" s="72"/>
    </row>
    <row r="399" spans="1:7">
      <c r="A399" s="973" t="str">
        <f>A35</f>
        <v>MELINDA R. BARCELONA</v>
      </c>
      <c r="B399" s="973"/>
      <c r="C399" s="973"/>
      <c r="D399" s="77"/>
      <c r="E399" s="973" t="str">
        <f>A399</f>
        <v>MELINDA R. BARCELONA</v>
      </c>
      <c r="F399" s="973"/>
      <c r="G399" s="973"/>
    </row>
    <row r="400" spans="1:7">
      <c r="A400" s="972" t="str">
        <f>A36</f>
        <v>AO V/PAYROLL CLERK</v>
      </c>
      <c r="B400" s="972"/>
      <c r="C400" s="972"/>
      <c r="D400" s="72"/>
      <c r="E400" s="972" t="str">
        <f>A400</f>
        <v>AO V/PAYROLL CLERK</v>
      </c>
      <c r="F400" s="972"/>
      <c r="G400" s="972"/>
    </row>
    <row r="401" spans="1:7">
      <c r="A401" s="71"/>
      <c r="B401" s="71"/>
      <c r="C401" s="71"/>
      <c r="D401" s="72"/>
      <c r="E401" s="71"/>
      <c r="F401" s="71"/>
      <c r="G401" s="71"/>
    </row>
    <row r="402" spans="1:7">
      <c r="A402" s="972" t="s">
        <v>0</v>
      </c>
      <c r="B402" s="972"/>
      <c r="C402" s="972"/>
      <c r="D402" s="72"/>
      <c r="E402" s="972" t="s">
        <v>0</v>
      </c>
      <c r="F402" s="972"/>
      <c r="G402" s="972"/>
    </row>
    <row r="403" spans="1:7">
      <c r="A403" s="972" t="s">
        <v>1</v>
      </c>
      <c r="B403" s="972"/>
      <c r="C403" s="972"/>
      <c r="D403" s="72"/>
      <c r="E403" s="972" t="s">
        <v>1</v>
      </c>
      <c r="F403" s="972"/>
      <c r="G403" s="972"/>
    </row>
    <row r="404" spans="1:7">
      <c r="A404" s="972" t="s">
        <v>441</v>
      </c>
      <c r="B404" s="972"/>
      <c r="C404" s="972"/>
      <c r="D404" s="72"/>
      <c r="E404" s="972" t="s">
        <v>441</v>
      </c>
      <c r="F404" s="972"/>
      <c r="G404" s="972"/>
    </row>
    <row r="405" spans="1:7">
      <c r="A405" s="972" t="s">
        <v>342</v>
      </c>
      <c r="B405" s="972"/>
      <c r="C405" s="972"/>
      <c r="D405" s="72"/>
      <c r="E405" s="972" t="s">
        <v>342</v>
      </c>
      <c r="F405" s="972"/>
      <c r="G405" s="972"/>
    </row>
    <row r="406" spans="1:7">
      <c r="A406" s="972" t="s">
        <v>442</v>
      </c>
      <c r="B406" s="972"/>
      <c r="C406" s="972"/>
      <c r="D406" s="72"/>
      <c r="E406" s="972" t="s">
        <v>442</v>
      </c>
      <c r="F406" s="972"/>
      <c r="G406" s="972"/>
    </row>
    <row r="407" spans="1:7">
      <c r="A407" s="72" t="s">
        <v>443</v>
      </c>
      <c r="B407" s="974" t="str">
        <f>'payroll(FEB)'!C27</f>
        <v>CESAR R. MIRAÑA</v>
      </c>
      <c r="C407" s="976"/>
      <c r="D407" s="72"/>
      <c r="E407" s="72" t="s">
        <v>443</v>
      </c>
      <c r="F407" s="974" t="str">
        <f>'payroll(FEB)'!C28</f>
        <v>BRENDA R. MENESES</v>
      </c>
      <c r="G407" s="976"/>
    </row>
    <row r="408" spans="1:7">
      <c r="A408" s="72" t="s">
        <v>444</v>
      </c>
      <c r="B408" s="974" t="str">
        <f>'payroll(FEB)'!D27</f>
        <v>SR AG</v>
      </c>
      <c r="C408" s="976"/>
      <c r="D408" s="72"/>
      <c r="E408" s="72" t="s">
        <v>444</v>
      </c>
      <c r="F408" s="974" t="str">
        <f>'payroll(FEB)'!D28</f>
        <v>AG II</v>
      </c>
      <c r="G408" s="976"/>
    </row>
    <row r="409" spans="1:7">
      <c r="A409" s="72" t="s">
        <v>446</v>
      </c>
      <c r="B409" s="975" t="str">
        <f>B369</f>
        <v>2/1-28/2026</v>
      </c>
      <c r="C409" s="976"/>
      <c r="D409" s="72"/>
      <c r="E409" s="72" t="s">
        <v>446</v>
      </c>
      <c r="F409" s="975" t="str">
        <f>B409</f>
        <v>2/1-28/2026</v>
      </c>
      <c r="G409" s="976"/>
    </row>
    <row r="410" spans="1:7">
      <c r="A410" s="77" t="s">
        <v>447</v>
      </c>
      <c r="B410" s="78"/>
      <c r="C410" s="88">
        <f>'payroll(FEB)'!E27</f>
        <v>52367</v>
      </c>
      <c r="D410" s="77"/>
      <c r="E410" s="77" t="s">
        <v>447</v>
      </c>
      <c r="F410" s="78"/>
      <c r="G410" s="88">
        <f>'payroll(FEB)'!E28</f>
        <v>41413</v>
      </c>
    </row>
    <row r="411" spans="1:7">
      <c r="A411" s="77" t="s">
        <v>30</v>
      </c>
      <c r="B411" s="77"/>
      <c r="C411" s="93">
        <f>'payroll(FEB)'!AC27</f>
        <v>2000</v>
      </c>
      <c r="D411" s="77"/>
      <c r="E411" s="77" t="s">
        <v>30</v>
      </c>
      <c r="F411" s="78"/>
      <c r="G411" s="93">
        <f>'payroll(FEB)'!AC28</f>
        <v>2000</v>
      </c>
    </row>
    <row r="412" spans="1:7">
      <c r="A412" s="72" t="s">
        <v>449</v>
      </c>
      <c r="B412" s="72"/>
      <c r="C412" s="92"/>
      <c r="D412" s="72"/>
      <c r="E412" s="72" t="s">
        <v>449</v>
      </c>
      <c r="F412" s="72"/>
      <c r="G412" s="92"/>
    </row>
    <row r="413" spans="1:7">
      <c r="A413" s="72" t="s">
        <v>134</v>
      </c>
      <c r="B413" s="82"/>
      <c r="C413" s="92"/>
      <c r="D413" s="72"/>
      <c r="E413" s="72" t="s">
        <v>134</v>
      </c>
      <c r="F413" s="82"/>
      <c r="G413" s="92"/>
    </row>
    <row r="414" spans="1:7">
      <c r="A414" s="72" t="s">
        <v>451</v>
      </c>
      <c r="B414" s="82"/>
      <c r="C414" s="92"/>
      <c r="D414" s="72"/>
      <c r="E414" s="72" t="s">
        <v>451</v>
      </c>
      <c r="F414" s="82"/>
      <c r="G414" s="92"/>
    </row>
    <row r="415" spans="1:7">
      <c r="A415" s="72" t="s">
        <v>452</v>
      </c>
      <c r="B415" s="82"/>
      <c r="C415" s="92"/>
      <c r="D415" s="72"/>
      <c r="E415" s="72" t="s">
        <v>452</v>
      </c>
      <c r="F415" s="82"/>
      <c r="G415" s="92"/>
    </row>
    <row r="416" spans="1:7">
      <c r="A416" s="72" t="s">
        <v>453</v>
      </c>
      <c r="B416" s="82"/>
      <c r="C416" s="92"/>
      <c r="D416" s="72"/>
      <c r="E416" s="72" t="s">
        <v>453</v>
      </c>
      <c r="F416" s="82"/>
      <c r="G416" s="92">
        <f>WTAX!H27</f>
        <v>3394.69</v>
      </c>
    </row>
    <row r="417" spans="1:7">
      <c r="A417" s="72" t="s">
        <v>454</v>
      </c>
      <c r="B417" s="82"/>
      <c r="C417" s="92"/>
      <c r="D417" s="72"/>
      <c r="E417" s="72" t="s">
        <v>454</v>
      </c>
      <c r="F417" s="82"/>
      <c r="G417" s="92"/>
    </row>
    <row r="418" spans="1:7">
      <c r="A418" s="72" t="s">
        <v>455</v>
      </c>
      <c r="B418" s="82"/>
      <c r="C418" s="92"/>
      <c r="D418" s="72"/>
      <c r="E418" s="72" t="s">
        <v>455</v>
      </c>
      <c r="F418" s="82"/>
      <c r="G418" s="92"/>
    </row>
    <row r="419" spans="1:7">
      <c r="A419" s="72" t="s">
        <v>456</v>
      </c>
      <c r="B419" s="82"/>
      <c r="C419" s="92">
        <f>'PHIC (1)'!W31</f>
        <v>1309.17</v>
      </c>
      <c r="D419" s="72"/>
      <c r="E419" s="72" t="s">
        <v>456</v>
      </c>
      <c r="F419" s="82"/>
      <c r="G419" s="92">
        <f>'PHIC (1)'!W32</f>
        <v>1035.32</v>
      </c>
    </row>
    <row r="420" spans="1:7">
      <c r="A420" s="72" t="s">
        <v>457</v>
      </c>
      <c r="B420" s="82"/>
      <c r="C420" s="92">
        <f>'payroll(FEB)'!F27</f>
        <v>4713.03</v>
      </c>
      <c r="D420" s="72"/>
      <c r="E420" s="72" t="s">
        <v>457</v>
      </c>
      <c r="F420" s="82"/>
      <c r="G420" s="92">
        <f>'payroll(FEB)'!F28</f>
        <v>3727.17</v>
      </c>
    </row>
    <row r="421" spans="1:7">
      <c r="A421" s="72" t="s">
        <v>104</v>
      </c>
      <c r="B421" s="82"/>
      <c r="C421" s="92">
        <f>'PAG-IBIG'!H50</f>
        <v>200</v>
      </c>
      <c r="D421" s="72"/>
      <c r="E421" s="72" t="s">
        <v>104</v>
      </c>
      <c r="F421" s="82"/>
      <c r="G421" s="92">
        <f>'PAG-IBIG'!H51</f>
        <v>200</v>
      </c>
    </row>
    <row r="422" spans="1:7">
      <c r="A422" s="72" t="s">
        <v>473</v>
      </c>
      <c r="B422" s="82"/>
      <c r="C422" s="92"/>
      <c r="D422" s="72"/>
      <c r="E422" s="72" t="s">
        <v>473</v>
      </c>
      <c r="F422" s="82"/>
      <c r="G422" s="92"/>
    </row>
    <row r="423" spans="1:7">
      <c r="A423" s="72" t="s">
        <v>125</v>
      </c>
      <c r="B423" s="82"/>
      <c r="C423" s="92"/>
      <c r="D423" s="72"/>
      <c r="E423" s="72" t="s">
        <v>125</v>
      </c>
      <c r="F423" s="82"/>
      <c r="G423" s="92"/>
    </row>
    <row r="424" spans="1:7">
      <c r="A424" s="72" t="s">
        <v>124</v>
      </c>
      <c r="B424" s="82"/>
      <c r="C424" s="92"/>
      <c r="D424" s="72"/>
      <c r="E424" s="72" t="s">
        <v>124</v>
      </c>
      <c r="F424" s="82"/>
      <c r="G424" s="92"/>
    </row>
    <row r="425" spans="1:7">
      <c r="A425" s="72" t="s">
        <v>458</v>
      </c>
      <c r="B425" s="82"/>
      <c r="C425" s="92">
        <f>CNGWMPC!S32</f>
        <v>17734.8</v>
      </c>
      <c r="D425" s="72"/>
      <c r="E425" s="72" t="s">
        <v>458</v>
      </c>
      <c r="F425" s="82"/>
      <c r="G425" s="92">
        <f>CNGWMPC!S33</f>
        <v>8839.15</v>
      </c>
    </row>
    <row r="426" spans="1:7">
      <c r="A426" s="72" t="s">
        <v>459</v>
      </c>
      <c r="B426" s="82"/>
      <c r="C426" s="92"/>
      <c r="D426" s="72"/>
      <c r="E426" s="72" t="s">
        <v>459</v>
      </c>
      <c r="F426" s="82"/>
      <c r="G426" s="92"/>
    </row>
    <row r="427" spans="1:7">
      <c r="A427" s="72" t="s">
        <v>468</v>
      </c>
      <c r="B427" s="82"/>
      <c r="C427" s="92"/>
      <c r="D427" s="72"/>
      <c r="E427" s="72" t="s">
        <v>469</v>
      </c>
      <c r="F427" s="82"/>
      <c r="G427" s="92"/>
    </row>
    <row r="428" spans="1:7">
      <c r="A428" s="72" t="s">
        <v>462</v>
      </c>
      <c r="B428" s="82"/>
      <c r="C428" s="92"/>
      <c r="D428" s="72"/>
      <c r="E428" s="72" t="s">
        <v>671</v>
      </c>
      <c r="F428" s="82"/>
      <c r="G428" s="92">
        <f>' gsis'!S34</f>
        <v>2333.33</v>
      </c>
    </row>
    <row r="429" spans="1:7">
      <c r="A429" s="72" t="s">
        <v>464</v>
      </c>
      <c r="B429" s="82"/>
      <c r="C429" s="92"/>
      <c r="D429" s="72"/>
      <c r="E429" s="72" t="s">
        <v>464</v>
      </c>
      <c r="F429" s="82"/>
      <c r="G429" s="92"/>
    </row>
    <row r="430" spans="1:7">
      <c r="A430" s="72" t="s">
        <v>465</v>
      </c>
      <c r="B430" s="82"/>
      <c r="C430" s="92"/>
      <c r="D430" s="72"/>
      <c r="E430" s="72" t="s">
        <v>465</v>
      </c>
      <c r="F430" s="82"/>
      <c r="G430" s="92">
        <f>' gsis'!N34</f>
        <v>0</v>
      </c>
    </row>
    <row r="431" spans="1:7">
      <c r="A431" s="72" t="s">
        <v>482</v>
      </c>
      <c r="B431" s="82"/>
      <c r="C431" s="92"/>
      <c r="D431" s="72"/>
      <c r="E431" s="72" t="s">
        <v>476</v>
      </c>
      <c r="F431" s="82"/>
      <c r="G431" s="92">
        <f>' gsis'!R34</f>
        <v>4408.8999999999996</v>
      </c>
    </row>
    <row r="432" spans="1:7">
      <c r="A432" s="72" t="s">
        <v>507</v>
      </c>
      <c r="B432" s="82"/>
      <c r="C432" s="92"/>
      <c r="D432" s="72"/>
      <c r="E432" s="72" t="s">
        <v>467</v>
      </c>
      <c r="F432" s="82"/>
      <c r="G432" s="92">
        <f>' gsis'!Q34</f>
        <v>9634.44</v>
      </c>
    </row>
    <row r="433" spans="1:7">
      <c r="A433" s="72"/>
      <c r="B433" s="72"/>
      <c r="C433" s="85"/>
      <c r="D433" s="72"/>
      <c r="E433" s="72"/>
      <c r="F433" s="82"/>
      <c r="G433" s="85"/>
    </row>
    <row r="434" spans="1:7">
      <c r="A434" s="77" t="s">
        <v>470</v>
      </c>
      <c r="B434" s="82"/>
      <c r="C434" s="88">
        <f>SUM(B413:C432)</f>
        <v>23957</v>
      </c>
      <c r="D434" s="77"/>
      <c r="E434" s="77" t="s">
        <v>470</v>
      </c>
      <c r="F434" s="82"/>
      <c r="G434" s="88">
        <f>SUM(F413:G432)</f>
        <v>33573.000000000007</v>
      </c>
    </row>
    <row r="435" spans="1:7">
      <c r="A435" s="77" t="s">
        <v>471</v>
      </c>
      <c r="B435" s="82"/>
      <c r="C435" s="80">
        <f>C410+C411-C434</f>
        <v>30410</v>
      </c>
      <c r="D435" s="77"/>
      <c r="E435" s="77" t="s">
        <v>471</v>
      </c>
      <c r="F435" s="82"/>
      <c r="G435" s="80">
        <f>G410+G411-G434</f>
        <v>9839.9999999999927</v>
      </c>
    </row>
    <row r="436" spans="1:7">
      <c r="A436" s="77"/>
      <c r="B436" s="72"/>
      <c r="C436" s="80"/>
      <c r="D436" s="77"/>
      <c r="E436" s="77"/>
      <c r="F436" s="72"/>
      <c r="G436" s="80"/>
    </row>
    <row r="437" spans="1:7">
      <c r="A437" s="77"/>
      <c r="B437" s="77"/>
      <c r="C437" s="77"/>
      <c r="D437" s="77"/>
      <c r="E437" s="77"/>
      <c r="F437" s="77"/>
      <c r="G437" s="77"/>
    </row>
    <row r="438" spans="1:7">
      <c r="A438" s="973" t="str">
        <f>A399</f>
        <v>MELINDA R. BARCELONA</v>
      </c>
      <c r="B438" s="973"/>
      <c r="C438" s="973"/>
      <c r="D438" s="77"/>
      <c r="E438" s="973" t="str">
        <f>A438</f>
        <v>MELINDA R. BARCELONA</v>
      </c>
      <c r="F438" s="973"/>
      <c r="G438" s="973"/>
    </row>
    <row r="439" spans="1:7">
      <c r="A439" s="972" t="str">
        <f>A400</f>
        <v>AO V/PAYROLL CLERK</v>
      </c>
      <c r="B439" s="972"/>
      <c r="C439" s="972"/>
      <c r="D439" s="72"/>
      <c r="E439" s="972" t="str">
        <f>A439</f>
        <v>AO V/PAYROLL CLERK</v>
      </c>
      <c r="F439" s="972"/>
      <c r="G439" s="972"/>
    </row>
    <row r="440" spans="1:7">
      <c r="A440" s="71"/>
      <c r="B440" s="71"/>
      <c r="C440" s="71"/>
      <c r="D440" s="72"/>
      <c r="E440" s="71"/>
      <c r="F440" s="71"/>
      <c r="G440" s="71"/>
    </row>
    <row r="441" spans="1:7">
      <c r="A441" s="71"/>
      <c r="B441" s="71"/>
      <c r="C441" s="71"/>
      <c r="D441" s="72"/>
      <c r="E441" s="71"/>
      <c r="F441" s="71"/>
      <c r="G441" s="71"/>
    </row>
    <row r="442" spans="1:7">
      <c r="A442" s="972" t="s">
        <v>0</v>
      </c>
      <c r="B442" s="972"/>
      <c r="C442" s="972"/>
      <c r="D442" s="72"/>
      <c r="E442" s="972" t="s">
        <v>0</v>
      </c>
      <c r="F442" s="972"/>
      <c r="G442" s="972"/>
    </row>
    <row r="443" spans="1:7">
      <c r="A443" s="972" t="s">
        <v>1</v>
      </c>
      <c r="B443" s="972"/>
      <c r="C443" s="972"/>
      <c r="D443" s="72"/>
      <c r="E443" s="972" t="s">
        <v>1</v>
      </c>
      <c r="F443" s="972"/>
      <c r="G443" s="972"/>
    </row>
    <row r="444" spans="1:7">
      <c r="A444" s="972" t="s">
        <v>441</v>
      </c>
      <c r="B444" s="972"/>
      <c r="C444" s="972"/>
      <c r="D444" s="72"/>
      <c r="E444" s="972" t="s">
        <v>441</v>
      </c>
      <c r="F444" s="972"/>
      <c r="G444" s="972"/>
    </row>
    <row r="445" spans="1:7">
      <c r="A445" s="972" t="s">
        <v>342</v>
      </c>
      <c r="B445" s="972"/>
      <c r="C445" s="972"/>
      <c r="D445" s="72"/>
      <c r="E445" s="972" t="s">
        <v>342</v>
      </c>
      <c r="F445" s="972"/>
      <c r="G445" s="972"/>
    </row>
    <row r="446" spans="1:7">
      <c r="A446" s="972" t="s">
        <v>442</v>
      </c>
      <c r="B446" s="972"/>
      <c r="C446" s="972"/>
      <c r="D446" s="72"/>
      <c r="E446" s="972" t="s">
        <v>442</v>
      </c>
      <c r="F446" s="972"/>
      <c r="G446" s="972"/>
    </row>
    <row r="447" spans="1:7">
      <c r="A447" s="72" t="s">
        <v>443</v>
      </c>
      <c r="B447" s="974" t="str">
        <f>'payroll(FEB)'!C29</f>
        <v>RONNIE R. ASIS</v>
      </c>
      <c r="C447" s="976"/>
      <c r="D447" s="72"/>
      <c r="E447" s="72" t="s">
        <v>443</v>
      </c>
      <c r="F447" s="974" t="str">
        <f>'payroll(FEB)'!C30</f>
        <v>RYAN I. VILLAFLORES</v>
      </c>
      <c r="G447" s="974"/>
    </row>
    <row r="448" spans="1:7">
      <c r="A448" s="72" t="s">
        <v>444</v>
      </c>
      <c r="B448" s="974" t="str">
        <f>'payroll(FEB)'!D29</f>
        <v>AG II</v>
      </c>
      <c r="C448" s="976"/>
      <c r="D448" s="72"/>
      <c r="E448" s="72" t="s">
        <v>444</v>
      </c>
      <c r="F448" s="974" t="str">
        <f>'payroll(FEB)'!D30</f>
        <v>AGII</v>
      </c>
      <c r="G448" s="974"/>
    </row>
    <row r="449" spans="1:7">
      <c r="A449" s="72" t="s">
        <v>446</v>
      </c>
      <c r="B449" s="975" t="str">
        <f>B409</f>
        <v>2/1-28/2026</v>
      </c>
      <c r="C449" s="975"/>
      <c r="D449" s="72"/>
      <c r="E449" s="72" t="s">
        <v>446</v>
      </c>
      <c r="F449" s="975" t="str">
        <f>B449</f>
        <v>2/1-28/2026</v>
      </c>
      <c r="G449" s="975"/>
    </row>
    <row r="450" spans="1:7">
      <c r="A450" s="77" t="s">
        <v>447</v>
      </c>
      <c r="B450" s="78"/>
      <c r="C450" s="88">
        <f>'payroll(FEB)'!E29</f>
        <v>42241</v>
      </c>
      <c r="D450" s="77"/>
      <c r="E450" s="77" t="s">
        <v>447</v>
      </c>
      <c r="F450" s="78"/>
      <c r="G450" s="88">
        <f>'payroll(FEB)'!E30</f>
        <v>41006</v>
      </c>
    </row>
    <row r="451" spans="1:7">
      <c r="A451" s="77" t="s">
        <v>30</v>
      </c>
      <c r="B451" s="77"/>
      <c r="C451" s="93">
        <v>2000</v>
      </c>
      <c r="D451" s="77"/>
      <c r="E451" s="77" t="s">
        <v>30</v>
      </c>
      <c r="F451" s="78"/>
      <c r="G451" s="93">
        <v>2000</v>
      </c>
    </row>
    <row r="452" spans="1:7">
      <c r="A452" s="72" t="s">
        <v>449</v>
      </c>
      <c r="B452" s="72"/>
      <c r="C452" s="88"/>
      <c r="D452" s="72"/>
      <c r="E452" s="72" t="s">
        <v>449</v>
      </c>
      <c r="F452" s="72"/>
      <c r="G452" s="92"/>
    </row>
    <row r="453" spans="1:7">
      <c r="A453" s="72" t="s">
        <v>134</v>
      </c>
      <c r="B453" s="82"/>
      <c r="C453" s="92"/>
      <c r="D453" s="72"/>
      <c r="E453" s="72" t="s">
        <v>134</v>
      </c>
      <c r="F453" s="82"/>
      <c r="G453" s="92"/>
    </row>
    <row r="454" spans="1:7">
      <c r="A454" s="72" t="s">
        <v>451</v>
      </c>
      <c r="B454" s="82"/>
      <c r="C454" s="92"/>
      <c r="D454" s="72"/>
      <c r="E454" s="72" t="s">
        <v>451</v>
      </c>
      <c r="F454" s="82"/>
      <c r="G454" s="92"/>
    </row>
    <row r="455" spans="1:7">
      <c r="A455" s="72" t="s">
        <v>452</v>
      </c>
      <c r="B455" s="82"/>
      <c r="C455" s="92">
        <f>'[1]DEC 2015'!J98</f>
        <v>0</v>
      </c>
      <c r="D455" s="72"/>
      <c r="E455" s="72" t="s">
        <v>452</v>
      </c>
      <c r="F455" s="82"/>
      <c r="G455" s="92"/>
    </row>
    <row r="456" spans="1:7">
      <c r="A456" s="72" t="s">
        <v>453</v>
      </c>
      <c r="B456" s="82"/>
      <c r="C456" s="92">
        <f>WTAX!H28</f>
        <v>3572.44</v>
      </c>
      <c r="D456" s="72"/>
      <c r="E456" s="72" t="s">
        <v>453</v>
      </c>
      <c r="F456" s="82"/>
      <c r="G456" s="92">
        <f>WTAX!H29</f>
        <v>3307.28</v>
      </c>
    </row>
    <row r="457" spans="1:7">
      <c r="A457" s="72" t="s">
        <v>454</v>
      </c>
      <c r="B457" s="82"/>
      <c r="C457" s="92"/>
      <c r="D457" s="72"/>
      <c r="E457" s="72" t="s">
        <v>454</v>
      </c>
      <c r="F457" s="82"/>
      <c r="G457" s="92"/>
    </row>
    <row r="458" spans="1:7">
      <c r="A458" s="72" t="s">
        <v>455</v>
      </c>
      <c r="B458" s="82"/>
      <c r="C458" s="92"/>
      <c r="D458" s="72"/>
      <c r="E458" s="72" t="s">
        <v>455</v>
      </c>
      <c r="F458" s="82"/>
      <c r="G458" s="92"/>
    </row>
    <row r="459" spans="1:7">
      <c r="A459" s="72" t="s">
        <v>456</v>
      </c>
      <c r="B459" s="82"/>
      <c r="C459" s="92">
        <f>'PHIC (1)'!W33</f>
        <v>1056.02</v>
      </c>
      <c r="D459" s="72"/>
      <c r="E459" s="72" t="s">
        <v>456</v>
      </c>
      <c r="F459" s="82"/>
      <c r="G459" s="92">
        <f>'PHIC (1)'!W34</f>
        <v>1025.1500000000001</v>
      </c>
    </row>
    <row r="460" spans="1:7">
      <c r="A460" s="72" t="s">
        <v>457</v>
      </c>
      <c r="B460" s="82"/>
      <c r="C460" s="92">
        <f>'payroll(FEB)'!F29</f>
        <v>3801.69</v>
      </c>
      <c r="D460" s="72"/>
      <c r="E460" s="72" t="s">
        <v>457</v>
      </c>
      <c r="F460" s="82"/>
      <c r="G460" s="92">
        <f>'payroll(FEB)'!F30</f>
        <v>3690.54</v>
      </c>
    </row>
    <row r="461" spans="1:7">
      <c r="A461" s="72" t="s">
        <v>104</v>
      </c>
      <c r="B461" s="82"/>
      <c r="C461" s="92">
        <f>'PAG-IBIG'!H52</f>
        <v>200</v>
      </c>
      <c r="D461" s="72"/>
      <c r="E461" s="72" t="s">
        <v>104</v>
      </c>
      <c r="F461" s="82"/>
      <c r="G461" s="92">
        <f>'PAG-IBIG'!H53</f>
        <v>200</v>
      </c>
    </row>
    <row r="462" spans="1:7">
      <c r="A462" s="72" t="s">
        <v>473</v>
      </c>
      <c r="B462" s="82"/>
      <c r="C462" s="92"/>
      <c r="D462" s="72"/>
      <c r="E462" s="72" t="s">
        <v>508</v>
      </c>
      <c r="F462" s="82"/>
      <c r="G462" s="92">
        <f>' gsis'!M36</f>
        <v>400</v>
      </c>
    </row>
    <row r="463" spans="1:7">
      <c r="A463" s="72" t="s">
        <v>125</v>
      </c>
      <c r="B463" s="82"/>
      <c r="C463" s="92"/>
      <c r="D463" s="72"/>
      <c r="E463" s="72" t="s">
        <v>125</v>
      </c>
      <c r="F463" s="82"/>
      <c r="G463" s="92"/>
    </row>
    <row r="464" spans="1:7">
      <c r="A464" s="72" t="s">
        <v>124</v>
      </c>
      <c r="B464" s="82"/>
      <c r="C464" s="92"/>
      <c r="D464" s="72"/>
      <c r="E464" s="72" t="s">
        <v>124</v>
      </c>
      <c r="F464" s="82"/>
      <c r="G464" s="92">
        <f>DBP!G24</f>
        <v>5293.1</v>
      </c>
    </row>
    <row r="465" spans="1:7">
      <c r="A465" s="72" t="s">
        <v>458</v>
      </c>
      <c r="B465" s="82"/>
      <c r="C465" s="92">
        <f>CNGWMPC!S34</f>
        <v>702.98</v>
      </c>
      <c r="D465" s="72"/>
      <c r="E465" s="72" t="s">
        <v>458</v>
      </c>
      <c r="F465" s="82"/>
      <c r="G465" s="92">
        <f>CNGWMPC!S83</f>
        <v>1537.19</v>
      </c>
    </row>
    <row r="466" spans="1:7">
      <c r="A466" s="72" t="s">
        <v>459</v>
      </c>
      <c r="B466" s="82"/>
      <c r="C466" s="92"/>
      <c r="D466" s="72"/>
      <c r="E466" s="72" t="s">
        <v>459</v>
      </c>
      <c r="F466" s="82"/>
      <c r="G466" s="92"/>
    </row>
    <row r="467" spans="1:7">
      <c r="A467" s="72" t="s">
        <v>509</v>
      </c>
      <c r="B467" s="82"/>
      <c r="C467" s="92"/>
      <c r="D467" s="72"/>
      <c r="E467" s="72" t="s">
        <v>496</v>
      </c>
      <c r="F467" s="82"/>
      <c r="G467" s="92">
        <f>' gsis'!P36</f>
        <v>1966.67</v>
      </c>
    </row>
    <row r="468" spans="1:7">
      <c r="A468" s="72" t="s">
        <v>510</v>
      </c>
      <c r="B468" s="82"/>
      <c r="C468" s="92"/>
      <c r="D468" s="72"/>
      <c r="E468" s="72" t="s">
        <v>467</v>
      </c>
      <c r="F468" s="82"/>
      <c r="G468" s="92">
        <f>' gsis'!Q36</f>
        <v>9634.44</v>
      </c>
    </row>
    <row r="469" spans="1:7">
      <c r="A469" s="72" t="s">
        <v>464</v>
      </c>
      <c r="B469" s="82"/>
      <c r="C469" s="92"/>
      <c r="D469" s="72"/>
      <c r="E469" s="72" t="s">
        <v>463</v>
      </c>
      <c r="F469" s="82"/>
      <c r="G469" s="92">
        <f>' gsis'!R36</f>
        <v>4846.0200000000004</v>
      </c>
    </row>
    <row r="470" spans="1:7">
      <c r="A470" s="72" t="s">
        <v>511</v>
      </c>
      <c r="B470" s="82"/>
      <c r="C470" s="92"/>
      <c r="D470" s="72"/>
      <c r="E470" s="72" t="s">
        <v>465</v>
      </c>
      <c r="F470" s="82"/>
      <c r="G470" s="92">
        <f>' gsis'!N36</f>
        <v>972.28</v>
      </c>
    </row>
    <row r="471" spans="1:7">
      <c r="A471" s="72" t="s">
        <v>463</v>
      </c>
      <c r="B471" s="82"/>
      <c r="C471" s="92">
        <f>' gsis'!R35</f>
        <v>7823.43</v>
      </c>
      <c r="D471" s="72"/>
      <c r="E471" s="72" t="s">
        <v>512</v>
      </c>
      <c r="F471" s="82"/>
      <c r="G471" s="92">
        <f>' gsis'!S37</f>
        <v>2333.33</v>
      </c>
    </row>
    <row r="472" spans="1:7">
      <c r="A472" s="72" t="s">
        <v>467</v>
      </c>
      <c r="B472" s="82"/>
      <c r="C472" s="92">
        <f>' gsis'!Q35</f>
        <v>9634.44</v>
      </c>
      <c r="D472" s="72"/>
      <c r="E472" s="72" t="s">
        <v>497</v>
      </c>
      <c r="F472" s="82"/>
      <c r="G472" s="92"/>
    </row>
    <row r="473" spans="1:7">
      <c r="A473" s="72"/>
      <c r="B473" s="72"/>
      <c r="C473" s="85"/>
      <c r="D473" s="72"/>
      <c r="E473" s="72"/>
      <c r="F473" s="82"/>
      <c r="G473" s="85"/>
    </row>
    <row r="474" spans="1:7">
      <c r="A474" s="77" t="s">
        <v>470</v>
      </c>
      <c r="B474" s="82"/>
      <c r="C474" s="88">
        <f>SUM(B452:C472)</f>
        <v>26791</v>
      </c>
      <c r="D474" s="77"/>
      <c r="E474" s="77" t="s">
        <v>470</v>
      </c>
      <c r="F474" s="82"/>
      <c r="G474" s="88">
        <f>SUM(F452:G472)</f>
        <v>35206.000000000007</v>
      </c>
    </row>
    <row r="475" spans="1:7">
      <c r="A475" s="77" t="s">
        <v>471</v>
      </c>
      <c r="B475" s="82"/>
      <c r="C475" s="80">
        <f>C450+C451-C474</f>
        <v>17450</v>
      </c>
      <c r="D475" s="77"/>
      <c r="E475" s="77" t="s">
        <v>471</v>
      </c>
      <c r="F475" s="82"/>
      <c r="G475" s="80">
        <f>G450+G451-G474</f>
        <v>7799.9999999999927</v>
      </c>
    </row>
    <row r="476" spans="1:7">
      <c r="A476" s="77"/>
      <c r="B476" s="72"/>
      <c r="C476" s="80"/>
      <c r="D476" s="77"/>
      <c r="E476" s="77"/>
      <c r="F476" s="72"/>
      <c r="G476" s="80"/>
    </row>
    <row r="477" spans="1:7">
      <c r="A477" s="77"/>
      <c r="B477" s="72"/>
      <c r="C477" s="88"/>
      <c r="D477" s="77"/>
      <c r="E477" s="77"/>
      <c r="F477" s="72"/>
      <c r="G477" s="88"/>
    </row>
    <row r="478" spans="1:7">
      <c r="A478" s="973" t="str">
        <f>A35</f>
        <v>MELINDA R. BARCELONA</v>
      </c>
      <c r="B478" s="973"/>
      <c r="C478" s="973"/>
      <c r="D478" s="77"/>
      <c r="E478" s="973" t="str">
        <f>A478</f>
        <v>MELINDA R. BARCELONA</v>
      </c>
      <c r="F478" s="973"/>
      <c r="G478" s="973"/>
    </row>
    <row r="479" spans="1:7">
      <c r="A479" s="972" t="str">
        <f>A36</f>
        <v>AO V/PAYROLL CLERK</v>
      </c>
      <c r="B479" s="972"/>
      <c r="C479" s="972"/>
      <c r="D479" s="72"/>
      <c r="E479" s="972" t="str">
        <f>A479</f>
        <v>AO V/PAYROLL CLERK</v>
      </c>
      <c r="F479" s="972"/>
      <c r="G479" s="972"/>
    </row>
    <row r="480" spans="1:7">
      <c r="A480" s="71"/>
      <c r="B480" s="71"/>
      <c r="C480" s="71"/>
      <c r="D480" s="72"/>
      <c r="E480" s="71"/>
      <c r="F480" s="71"/>
      <c r="G480" s="71"/>
    </row>
    <row r="481" spans="1:7">
      <c r="A481" s="71"/>
      <c r="B481" s="71"/>
      <c r="C481" s="71"/>
      <c r="D481" s="72"/>
      <c r="E481" s="71"/>
      <c r="F481" s="71"/>
      <c r="G481" s="71"/>
    </row>
    <row r="482" spans="1:7">
      <c r="A482" s="972" t="s">
        <v>0</v>
      </c>
      <c r="B482" s="972"/>
      <c r="C482" s="972"/>
      <c r="D482" s="72"/>
      <c r="E482" s="972" t="s">
        <v>0</v>
      </c>
      <c r="F482" s="972"/>
      <c r="G482" s="972"/>
    </row>
    <row r="483" spans="1:7">
      <c r="A483" s="972" t="s">
        <v>1</v>
      </c>
      <c r="B483" s="972"/>
      <c r="C483" s="972"/>
      <c r="D483" s="72"/>
      <c r="E483" s="972" t="s">
        <v>1</v>
      </c>
      <c r="F483" s="972"/>
      <c r="G483" s="972"/>
    </row>
    <row r="484" spans="1:7">
      <c r="A484" s="972" t="s">
        <v>441</v>
      </c>
      <c r="B484" s="972"/>
      <c r="C484" s="972"/>
      <c r="D484" s="72"/>
      <c r="E484" s="972" t="s">
        <v>441</v>
      </c>
      <c r="F484" s="972"/>
      <c r="G484" s="972"/>
    </row>
    <row r="485" spans="1:7">
      <c r="A485" s="972" t="s">
        <v>342</v>
      </c>
      <c r="B485" s="972"/>
      <c r="C485" s="972"/>
      <c r="D485" s="72"/>
      <c r="E485" s="972" t="s">
        <v>342</v>
      </c>
      <c r="F485" s="972"/>
      <c r="G485" s="972"/>
    </row>
    <row r="486" spans="1:7">
      <c r="A486" s="972" t="s">
        <v>442</v>
      </c>
      <c r="B486" s="972"/>
      <c r="C486" s="972"/>
      <c r="D486" s="72"/>
      <c r="E486" s="972" t="s">
        <v>442</v>
      </c>
      <c r="F486" s="972"/>
      <c r="G486" s="972"/>
    </row>
    <row r="487" spans="1:7">
      <c r="A487" s="72" t="s">
        <v>443</v>
      </c>
      <c r="B487" s="974" t="str">
        <f>'payroll(FEB)'!C31</f>
        <v>ROWIL B. DIAZ</v>
      </c>
      <c r="C487" s="976"/>
      <c r="D487" s="72"/>
      <c r="E487" s="72" t="s">
        <v>443</v>
      </c>
      <c r="F487" s="974" t="str">
        <f>'payroll(FEB)'!C32</f>
        <v>ADOR T. SANCHEZ</v>
      </c>
      <c r="G487" s="976"/>
    </row>
    <row r="488" spans="1:7">
      <c r="A488" s="72" t="s">
        <v>444</v>
      </c>
      <c r="B488" s="974" t="str">
        <f>'payroll(FEB)'!D31</f>
        <v>AG II</v>
      </c>
      <c r="C488" s="976"/>
      <c r="D488" s="72"/>
      <c r="E488" s="72" t="s">
        <v>444</v>
      </c>
      <c r="F488" s="974" t="str">
        <f>'payroll(FEB)'!D33</f>
        <v>AG II</v>
      </c>
      <c r="G488" s="976"/>
    </row>
    <row r="489" spans="1:7">
      <c r="A489" s="72" t="s">
        <v>446</v>
      </c>
      <c r="B489" s="975" t="str">
        <f>B449</f>
        <v>2/1-28/2026</v>
      </c>
      <c r="C489" s="976"/>
      <c r="D489" s="72"/>
      <c r="E489" s="72" t="s">
        <v>446</v>
      </c>
      <c r="F489" s="975" t="str">
        <f>B489</f>
        <v>2/1-28/2026</v>
      </c>
      <c r="G489" s="976"/>
    </row>
    <row r="490" spans="1:7">
      <c r="A490" s="77" t="s">
        <v>447</v>
      </c>
      <c r="B490" s="78"/>
      <c r="C490" s="88">
        <f>'payroll(FEB)'!E31</f>
        <v>41006</v>
      </c>
      <c r="D490" s="77"/>
      <c r="E490" s="77" t="s">
        <v>447</v>
      </c>
      <c r="F490" s="78"/>
      <c r="G490" s="88">
        <f>'payroll(FEB)'!E32</f>
        <v>41006</v>
      </c>
    </row>
    <row r="491" spans="1:7">
      <c r="A491" s="77" t="s">
        <v>30</v>
      </c>
      <c r="B491" s="77"/>
      <c r="C491" s="93">
        <f>'payroll(FEB)'!AC29</f>
        <v>2000</v>
      </c>
      <c r="D491" s="77"/>
      <c r="E491" s="77" t="s">
        <v>30</v>
      </c>
      <c r="F491" s="78"/>
      <c r="G491" s="93">
        <f>'payroll(FEB)'!AC30</f>
        <v>2000</v>
      </c>
    </row>
    <row r="492" spans="1:7">
      <c r="A492" s="72" t="s">
        <v>449</v>
      </c>
      <c r="B492" s="72"/>
      <c r="C492" s="92"/>
      <c r="D492" s="72"/>
      <c r="E492" s="72" t="s">
        <v>449</v>
      </c>
      <c r="F492" s="72"/>
      <c r="G492" s="92"/>
    </row>
    <row r="493" spans="1:7">
      <c r="A493" s="72" t="s">
        <v>134</v>
      </c>
      <c r="B493" s="82"/>
      <c r="C493" s="92">
        <f>'PAG-IBIG'!J54</f>
        <v>7517.71</v>
      </c>
      <c r="D493" s="72"/>
      <c r="E493" s="72" t="s">
        <v>134</v>
      </c>
      <c r="F493" s="82"/>
      <c r="G493" s="92"/>
    </row>
    <row r="494" spans="1:7">
      <c r="A494" s="72" t="s">
        <v>451</v>
      </c>
      <c r="B494" s="82"/>
      <c r="C494" s="92"/>
      <c r="D494" s="72"/>
      <c r="E494" s="72" t="s">
        <v>451</v>
      </c>
      <c r="F494" s="82"/>
      <c r="G494" s="92"/>
    </row>
    <row r="495" spans="1:7">
      <c r="A495" s="72" t="s">
        <v>452</v>
      </c>
      <c r="B495" s="82"/>
      <c r="C495" s="92"/>
      <c r="D495" s="72"/>
      <c r="E495" s="72" t="s">
        <v>452</v>
      </c>
      <c r="F495" s="82"/>
      <c r="G495" s="92"/>
    </row>
    <row r="496" spans="1:7">
      <c r="A496" s="72" t="s">
        <v>453</v>
      </c>
      <c r="B496" s="82"/>
      <c r="C496" s="92">
        <f>WTAX!H30</f>
        <v>3307.28</v>
      </c>
      <c r="D496" s="72"/>
      <c r="E496" s="72" t="s">
        <v>453</v>
      </c>
      <c r="F496" s="82"/>
      <c r="G496" s="92">
        <f>WTAX!H31</f>
        <v>3307.28</v>
      </c>
    </row>
    <row r="497" spans="1:7">
      <c r="A497" s="72" t="s">
        <v>454</v>
      </c>
      <c r="B497" s="82"/>
      <c r="C497" s="92"/>
      <c r="D497" s="72"/>
      <c r="E497" s="72" t="s">
        <v>454</v>
      </c>
      <c r="F497" s="82"/>
      <c r="G497" s="92"/>
    </row>
    <row r="498" spans="1:7">
      <c r="A498" s="72" t="s">
        <v>455</v>
      </c>
      <c r="B498" s="82"/>
      <c r="C498" s="92"/>
      <c r="D498" s="72"/>
      <c r="E498" s="72" t="s">
        <v>455</v>
      </c>
      <c r="F498" s="82"/>
      <c r="G498" s="92"/>
    </row>
    <row r="499" spans="1:7">
      <c r="A499" s="72" t="s">
        <v>456</v>
      </c>
      <c r="B499" s="82"/>
      <c r="C499" s="92">
        <f>'PHIC (1)'!W35</f>
        <v>1025.1500000000001</v>
      </c>
      <c r="D499" s="72"/>
      <c r="E499" s="72" t="s">
        <v>456</v>
      </c>
      <c r="F499" s="82"/>
      <c r="G499" s="92">
        <f>'PHIC (1)'!W36</f>
        <v>1025.1500000000001</v>
      </c>
    </row>
    <row r="500" spans="1:7">
      <c r="A500" s="72" t="s">
        <v>457</v>
      </c>
      <c r="B500" s="82"/>
      <c r="C500" s="92">
        <f>'payroll(FEB)'!F31</f>
        <v>3690.54</v>
      </c>
      <c r="D500" s="72"/>
      <c r="E500" s="72" t="s">
        <v>457</v>
      </c>
      <c r="F500" s="82"/>
      <c r="G500" s="92">
        <f>'payroll(FEB)'!F32</f>
        <v>3690.54</v>
      </c>
    </row>
    <row r="501" spans="1:7">
      <c r="A501" s="72" t="s">
        <v>104</v>
      </c>
      <c r="B501" s="82"/>
      <c r="C501" s="92">
        <f>'PAG-IBIG'!H54</f>
        <v>200</v>
      </c>
      <c r="D501" s="72"/>
      <c r="E501" s="72" t="s">
        <v>104</v>
      </c>
      <c r="F501" s="82"/>
      <c r="G501" s="92">
        <f>'PAG-IBIG'!H55</f>
        <v>200</v>
      </c>
    </row>
    <row r="502" spans="1:7">
      <c r="A502" s="72" t="s">
        <v>473</v>
      </c>
      <c r="B502" s="82"/>
      <c r="C502" s="92"/>
      <c r="D502" s="72"/>
      <c r="E502" s="72" t="s">
        <v>473</v>
      </c>
      <c r="F502" s="82"/>
      <c r="G502" s="92"/>
    </row>
    <row r="503" spans="1:7">
      <c r="A503" s="72" t="s">
        <v>125</v>
      </c>
      <c r="B503" s="82"/>
      <c r="C503" s="92"/>
      <c r="D503" s="72"/>
      <c r="E503" s="72" t="s">
        <v>125</v>
      </c>
      <c r="F503" s="82"/>
      <c r="G503" s="92"/>
    </row>
    <row r="504" spans="1:7">
      <c r="A504" s="72" t="s">
        <v>124</v>
      </c>
      <c r="B504" s="82"/>
      <c r="C504" s="92"/>
      <c r="D504" s="72"/>
      <c r="E504" s="72" t="s">
        <v>124</v>
      </c>
      <c r="F504" s="82"/>
      <c r="G504" s="92"/>
    </row>
    <row r="505" spans="1:7">
      <c r="A505" s="72" t="s">
        <v>458</v>
      </c>
      <c r="B505" s="82"/>
      <c r="C505" s="92">
        <f>CNGWMPC!S84</f>
        <v>7542.38</v>
      </c>
      <c r="D505" s="72"/>
      <c r="E505" s="72" t="s">
        <v>458</v>
      </c>
      <c r="F505" s="82"/>
      <c r="G505" s="92">
        <f>CNGWMPC!S85</f>
        <v>7593.03</v>
      </c>
    </row>
    <row r="506" spans="1:7">
      <c r="A506" s="72" t="s">
        <v>459</v>
      </c>
      <c r="B506" s="82"/>
      <c r="C506" s="92"/>
      <c r="D506" s="72"/>
      <c r="E506" s="72" t="s">
        <v>459</v>
      </c>
      <c r="F506" s="82"/>
      <c r="G506" s="92"/>
    </row>
    <row r="507" spans="1:7">
      <c r="A507" s="72" t="s">
        <v>476</v>
      </c>
      <c r="B507" s="82"/>
      <c r="C507" s="92">
        <f>' gsis'!R37</f>
        <v>4363.6099999999997</v>
      </c>
      <c r="D507" s="72"/>
      <c r="E507" s="72" t="s">
        <v>460</v>
      </c>
      <c r="F507" s="82"/>
      <c r="G507" s="92"/>
    </row>
    <row r="508" spans="1:7">
      <c r="A508" s="72" t="s">
        <v>510</v>
      </c>
      <c r="B508" s="82"/>
      <c r="C508" s="92"/>
      <c r="D508" s="72"/>
      <c r="E508" s="72" t="s">
        <v>510</v>
      </c>
      <c r="F508" s="82"/>
      <c r="G508" s="92"/>
    </row>
    <row r="509" spans="1:7">
      <c r="A509" s="72" t="s">
        <v>672</v>
      </c>
      <c r="B509" s="82"/>
      <c r="C509" s="92">
        <f>' gsis'!N37</f>
        <v>0</v>
      </c>
      <c r="D509" s="72"/>
      <c r="E509" s="72" t="s">
        <v>464</v>
      </c>
      <c r="F509" s="82"/>
      <c r="G509" s="92"/>
    </row>
    <row r="510" spans="1:7">
      <c r="A510" s="72" t="s">
        <v>477</v>
      </c>
      <c r="B510" s="82"/>
      <c r="C510" s="92">
        <f>' gsis'!S37</f>
        <v>2333.33</v>
      </c>
      <c r="D510" s="72"/>
      <c r="E510" s="72" t="s">
        <v>465</v>
      </c>
      <c r="F510" s="82"/>
      <c r="G510" s="92"/>
    </row>
    <row r="511" spans="1:7">
      <c r="A511" s="72" t="s">
        <v>513</v>
      </c>
      <c r="B511" s="82"/>
      <c r="C511" s="92">
        <f>' gsis'!P37</f>
        <v>0</v>
      </c>
      <c r="D511" s="72"/>
      <c r="E511" s="72" t="s">
        <v>467</v>
      </c>
      <c r="F511" s="82"/>
      <c r="G511" s="92">
        <f>'[1]DEC 2015'!AI101</f>
        <v>0</v>
      </c>
    </row>
    <row r="512" spans="1:7">
      <c r="A512" s="72" t="s">
        <v>514</v>
      </c>
      <c r="B512" s="82"/>
      <c r="C512" s="92">
        <f>' gsis'!M37</f>
        <v>300</v>
      </c>
      <c r="D512" s="72"/>
      <c r="E512" s="72" t="s">
        <v>497</v>
      </c>
      <c r="F512" s="82"/>
      <c r="G512" s="92"/>
    </row>
    <row r="513" spans="1:7">
      <c r="A513" s="72"/>
      <c r="B513" s="72"/>
      <c r="C513" s="85"/>
      <c r="D513" s="72"/>
      <c r="E513" s="72"/>
      <c r="F513" s="82"/>
      <c r="G513" s="92">
        <f>'[1]DEC 2015'!AK101</f>
        <v>0</v>
      </c>
    </row>
    <row r="514" spans="1:7">
      <c r="A514" s="77" t="s">
        <v>470</v>
      </c>
      <c r="B514" s="82"/>
      <c r="C514" s="88">
        <f>SUM(B493:C512)</f>
        <v>30280</v>
      </c>
      <c r="D514" s="77"/>
      <c r="E514" s="77" t="s">
        <v>470</v>
      </c>
      <c r="F514" s="82"/>
      <c r="G514" s="88">
        <f>SUM(F493:G512)</f>
        <v>15816</v>
      </c>
    </row>
    <row r="515" spans="1:7">
      <c r="A515" s="77" t="s">
        <v>471</v>
      </c>
      <c r="B515" s="82"/>
      <c r="C515" s="80">
        <f>C490+C491-C514</f>
        <v>12726</v>
      </c>
      <c r="D515" s="77"/>
      <c r="E515" s="77" t="s">
        <v>471</v>
      </c>
      <c r="F515" s="82"/>
      <c r="G515" s="80">
        <f>G490+G491-G514</f>
        <v>27190</v>
      </c>
    </row>
    <row r="516" spans="1:7">
      <c r="A516" s="77"/>
      <c r="B516" s="77"/>
      <c r="C516" s="77"/>
      <c r="D516" s="77"/>
      <c r="E516" s="77"/>
      <c r="F516" s="77"/>
      <c r="G516" s="77"/>
    </row>
    <row r="517" spans="1:7">
      <c r="A517" s="72"/>
      <c r="B517" s="72"/>
      <c r="C517" s="72"/>
      <c r="D517" s="72"/>
      <c r="E517" s="72"/>
      <c r="F517" s="72"/>
      <c r="G517" s="72"/>
    </row>
    <row r="518" spans="1:7">
      <c r="A518" s="973" t="str">
        <f>A478</f>
        <v>MELINDA R. BARCELONA</v>
      </c>
      <c r="B518" s="973"/>
      <c r="C518" s="973"/>
      <c r="D518" s="77"/>
      <c r="E518" s="973" t="str">
        <f>A518</f>
        <v>MELINDA R. BARCELONA</v>
      </c>
      <c r="F518" s="973"/>
      <c r="G518" s="973"/>
    </row>
    <row r="519" spans="1:7">
      <c r="A519" s="972" t="str">
        <f>A479</f>
        <v>AO V/PAYROLL CLERK</v>
      </c>
      <c r="B519" s="972"/>
      <c r="C519" s="972"/>
      <c r="D519" s="72"/>
      <c r="E519" s="972" t="str">
        <f>A519</f>
        <v>AO V/PAYROLL CLERK</v>
      </c>
      <c r="F519" s="972"/>
      <c r="G519" s="972"/>
    </row>
    <row r="520" spans="1:7">
      <c r="A520" s="71"/>
      <c r="B520" s="71"/>
      <c r="C520" s="71"/>
      <c r="D520" s="72"/>
      <c r="E520" s="71"/>
      <c r="F520" s="71"/>
      <c r="G520" s="71"/>
    </row>
    <row r="521" spans="1:7">
      <c r="A521" s="71"/>
      <c r="B521" s="71"/>
      <c r="C521" s="71"/>
      <c r="D521" s="72"/>
      <c r="E521" s="71"/>
      <c r="F521" s="71"/>
      <c r="G521" s="71"/>
    </row>
    <row r="522" spans="1:7">
      <c r="A522" s="972" t="s">
        <v>0</v>
      </c>
      <c r="B522" s="972"/>
      <c r="C522" s="972"/>
      <c r="D522" s="72"/>
      <c r="E522" s="972" t="s">
        <v>0</v>
      </c>
      <c r="F522" s="972"/>
      <c r="G522" s="972"/>
    </row>
    <row r="523" spans="1:7">
      <c r="A523" s="972" t="s">
        <v>1</v>
      </c>
      <c r="B523" s="972"/>
      <c r="C523" s="972"/>
      <c r="D523" s="72"/>
      <c r="E523" s="972" t="s">
        <v>1</v>
      </c>
      <c r="F523" s="972"/>
      <c r="G523" s="972"/>
    </row>
    <row r="524" spans="1:7">
      <c r="A524" s="972" t="s">
        <v>441</v>
      </c>
      <c r="B524" s="972"/>
      <c r="C524" s="972"/>
      <c r="D524" s="72"/>
      <c r="E524" s="972" t="s">
        <v>441</v>
      </c>
      <c r="F524" s="972"/>
      <c r="G524" s="972"/>
    </row>
    <row r="525" spans="1:7">
      <c r="A525" s="972" t="s">
        <v>342</v>
      </c>
      <c r="B525" s="972"/>
      <c r="C525" s="972"/>
      <c r="D525" s="72"/>
      <c r="E525" s="972" t="s">
        <v>342</v>
      </c>
      <c r="F525" s="972"/>
      <c r="G525" s="972"/>
    </row>
    <row r="526" spans="1:7">
      <c r="A526" s="972" t="s">
        <v>442</v>
      </c>
      <c r="B526" s="972"/>
      <c r="C526" s="972"/>
      <c r="D526" s="72"/>
      <c r="E526" s="972" t="s">
        <v>442</v>
      </c>
      <c r="F526" s="972"/>
      <c r="G526" s="972"/>
    </row>
    <row r="527" spans="1:7">
      <c r="A527" s="72" t="s">
        <v>443</v>
      </c>
      <c r="B527" s="974" t="str">
        <f>'payroll(FEB)'!C33</f>
        <v>JAY Q. CANARIA</v>
      </c>
      <c r="C527" s="976"/>
      <c r="D527" s="72"/>
      <c r="E527" s="72" t="s">
        <v>443</v>
      </c>
      <c r="F527" s="974" t="str">
        <f>'payroll(FEB)'!C34</f>
        <v>MELINDA L. JEREZ</v>
      </c>
      <c r="G527" s="976"/>
    </row>
    <row r="528" spans="1:7">
      <c r="A528" s="72" t="s">
        <v>444</v>
      </c>
      <c r="B528" s="974" t="str">
        <f>'payroll(FEB)'!D33</f>
        <v>AG II</v>
      </c>
      <c r="C528" s="976"/>
      <c r="D528" s="72"/>
      <c r="E528" s="72" t="s">
        <v>444</v>
      </c>
      <c r="F528" s="974" t="str">
        <f>'payroll(FEB)'!D34</f>
        <v>SA</v>
      </c>
      <c r="G528" s="976"/>
    </row>
    <row r="529" spans="1:7">
      <c r="A529" s="72" t="s">
        <v>446</v>
      </c>
      <c r="B529" s="975" t="str">
        <f>B489</f>
        <v>2/1-28/2026</v>
      </c>
      <c r="C529" s="975"/>
      <c r="D529" s="72"/>
      <c r="E529" s="72" t="s">
        <v>446</v>
      </c>
      <c r="F529" s="975" t="str">
        <f>B529</f>
        <v>2/1-28/2026</v>
      </c>
      <c r="G529" s="976"/>
    </row>
    <row r="530" spans="1:7">
      <c r="A530" s="77" t="s">
        <v>447</v>
      </c>
      <c r="B530" s="77"/>
      <c r="C530" s="88">
        <f>'payroll(FEB)'!E33</f>
        <v>41006</v>
      </c>
      <c r="D530" s="77"/>
      <c r="E530" s="77" t="s">
        <v>447</v>
      </c>
      <c r="F530" s="77"/>
      <c r="G530" s="88">
        <f>'payroll(FEB)'!E34</f>
        <v>80411</v>
      </c>
    </row>
    <row r="531" spans="1:7">
      <c r="A531" s="77" t="s">
        <v>30</v>
      </c>
      <c r="B531" s="81"/>
      <c r="C531" s="90">
        <f>'payroll(FEB)'!AC33</f>
        <v>2000</v>
      </c>
      <c r="D531" s="77"/>
      <c r="E531" s="77" t="s">
        <v>30</v>
      </c>
      <c r="F531" s="81"/>
      <c r="G531" s="90">
        <f>'payroll(FEB)'!AC34</f>
        <v>2000</v>
      </c>
    </row>
    <row r="532" spans="1:7">
      <c r="A532" s="72" t="s">
        <v>449</v>
      </c>
      <c r="B532" s="72"/>
      <c r="C532" s="88"/>
      <c r="D532" s="72"/>
      <c r="E532" s="72" t="s">
        <v>449</v>
      </c>
      <c r="F532" s="72"/>
      <c r="G532" s="92"/>
    </row>
    <row r="533" spans="1:7">
      <c r="A533" s="72" t="s">
        <v>450</v>
      </c>
      <c r="B533" s="82"/>
      <c r="C533" s="92"/>
      <c r="D533" s="72"/>
      <c r="E533" s="72" t="s">
        <v>450</v>
      </c>
      <c r="F533" s="82"/>
      <c r="G533" s="92"/>
    </row>
    <row r="534" spans="1:7">
      <c r="A534" s="72" t="s">
        <v>134</v>
      </c>
      <c r="B534" s="84"/>
      <c r="C534" s="92"/>
      <c r="D534" s="72"/>
      <c r="E534" s="72" t="s">
        <v>134</v>
      </c>
      <c r="F534" s="82"/>
      <c r="G534" s="92"/>
    </row>
    <row r="535" spans="1:7">
      <c r="A535" s="72" t="s">
        <v>451</v>
      </c>
      <c r="B535" s="84"/>
      <c r="C535" s="92"/>
      <c r="D535" s="72"/>
      <c r="E535" s="72" t="s">
        <v>451</v>
      </c>
      <c r="F535" s="84"/>
      <c r="G535" s="92"/>
    </row>
    <row r="536" spans="1:7">
      <c r="A536" s="72" t="s">
        <v>452</v>
      </c>
      <c r="B536" s="84"/>
      <c r="C536" s="92"/>
      <c r="D536" s="72"/>
      <c r="E536" s="72" t="s">
        <v>452</v>
      </c>
      <c r="F536" s="84"/>
      <c r="G536" s="92"/>
    </row>
    <row r="537" spans="1:7">
      <c r="A537" s="72" t="s">
        <v>453</v>
      </c>
      <c r="B537" s="84"/>
      <c r="C537" s="92">
        <f>WTAX!H32</f>
        <v>3307.28</v>
      </c>
      <c r="D537" s="72"/>
      <c r="E537" s="72" t="s">
        <v>453</v>
      </c>
      <c r="F537" s="72"/>
      <c r="G537" s="92">
        <f>WTAX!H33</f>
        <v>12553.53</v>
      </c>
    </row>
    <row r="538" spans="1:7">
      <c r="A538" s="72" t="s">
        <v>454</v>
      </c>
      <c r="B538" s="84"/>
      <c r="C538" s="92"/>
      <c r="D538" s="72"/>
      <c r="E538" s="72" t="s">
        <v>454</v>
      </c>
      <c r="F538" s="82"/>
      <c r="G538" s="92"/>
    </row>
    <row r="539" spans="1:7">
      <c r="A539" s="72" t="s">
        <v>455</v>
      </c>
      <c r="B539" s="84"/>
      <c r="C539" s="92"/>
      <c r="D539" s="72"/>
      <c r="E539" s="72" t="s">
        <v>455</v>
      </c>
      <c r="F539" s="84"/>
      <c r="G539" s="92"/>
    </row>
    <row r="540" spans="1:7">
      <c r="A540" s="72" t="s">
        <v>456</v>
      </c>
      <c r="B540" s="84"/>
      <c r="C540" s="92">
        <f>'PHIC (1)'!W37</f>
        <v>1025.1500000000001</v>
      </c>
      <c r="D540" s="72"/>
      <c r="E540" s="72" t="s">
        <v>456</v>
      </c>
      <c r="F540" s="84"/>
      <c r="G540" s="92">
        <f>'PHIC (1)'!W38</f>
        <v>2010.27</v>
      </c>
    </row>
    <row r="541" spans="1:7">
      <c r="A541" s="72" t="s">
        <v>457</v>
      </c>
      <c r="B541" s="84"/>
      <c r="C541" s="92">
        <f>'payroll(FEB)'!F33</f>
        <v>3690.54</v>
      </c>
      <c r="D541" s="72"/>
      <c r="E541" s="72" t="s">
        <v>457</v>
      </c>
      <c r="F541" s="84"/>
      <c r="G541" s="92">
        <f>'payroll(FEB)'!F34</f>
        <v>7236.99</v>
      </c>
    </row>
    <row r="542" spans="1:7">
      <c r="A542" s="72" t="s">
        <v>104</v>
      </c>
      <c r="B542" s="84"/>
      <c r="C542" s="92">
        <f>'PAG-IBIG'!H56</f>
        <v>200</v>
      </c>
      <c r="D542" s="72"/>
      <c r="E542" s="72" t="s">
        <v>104</v>
      </c>
      <c r="F542" s="84"/>
      <c r="G542" s="92">
        <f>'PAG-IBIG'!H57</f>
        <v>200</v>
      </c>
    </row>
    <row r="543" spans="1:7">
      <c r="A543" s="72" t="s">
        <v>515</v>
      </c>
      <c r="B543" s="84"/>
      <c r="C543" s="92"/>
      <c r="D543" s="72"/>
      <c r="E543" s="72" t="s">
        <v>473</v>
      </c>
      <c r="F543" s="84"/>
      <c r="G543" s="92"/>
    </row>
    <row r="544" spans="1:7">
      <c r="A544" s="72" t="s">
        <v>125</v>
      </c>
      <c r="B544" s="84"/>
      <c r="C544" s="92"/>
      <c r="D544" s="72"/>
      <c r="E544" s="72" t="s">
        <v>125</v>
      </c>
      <c r="F544" s="84"/>
      <c r="G544" s="92"/>
    </row>
    <row r="545" spans="1:7">
      <c r="A545" s="72" t="s">
        <v>124</v>
      </c>
      <c r="B545" s="84"/>
      <c r="C545" s="92"/>
      <c r="D545" s="72"/>
      <c r="E545" s="72" t="s">
        <v>124</v>
      </c>
      <c r="F545" s="84"/>
      <c r="G545" s="92"/>
    </row>
    <row r="546" spans="1:7">
      <c r="A546" s="72" t="s">
        <v>458</v>
      </c>
      <c r="B546" s="84"/>
      <c r="C546" s="92">
        <f>CNGWMPC!S86</f>
        <v>1187.48</v>
      </c>
      <c r="D546" s="72"/>
      <c r="E546" s="72" t="s">
        <v>458</v>
      </c>
      <c r="F546" s="84"/>
      <c r="G546" s="92">
        <f>CNGWMPC!S87</f>
        <v>700.21</v>
      </c>
    </row>
    <row r="547" spans="1:7">
      <c r="A547" s="72" t="s">
        <v>459</v>
      </c>
      <c r="B547" s="84"/>
      <c r="C547" s="92"/>
      <c r="D547" s="72"/>
      <c r="E547" s="72" t="s">
        <v>459</v>
      </c>
      <c r="F547" s="84"/>
      <c r="G547" s="92"/>
    </row>
    <row r="548" spans="1:7">
      <c r="A548" s="72" t="s">
        <v>516</v>
      </c>
      <c r="B548" s="84"/>
      <c r="C548" s="92">
        <f>' gsis'!M39</f>
        <v>100</v>
      </c>
      <c r="D548" s="72"/>
      <c r="E548" s="72" t="s">
        <v>460</v>
      </c>
      <c r="F548" s="84"/>
      <c r="G548" s="92"/>
    </row>
    <row r="549" spans="1:7">
      <c r="A549" s="72" t="s">
        <v>526</v>
      </c>
      <c r="B549" s="84"/>
      <c r="C549" s="92">
        <f>' gsis'!P39</f>
        <v>1966.67</v>
      </c>
      <c r="D549" s="72"/>
      <c r="E549" s="72" t="s">
        <v>487</v>
      </c>
      <c r="F549" s="84"/>
      <c r="G549" s="92"/>
    </row>
    <row r="550" spans="1:7">
      <c r="A550" s="72" t="s">
        <v>517</v>
      </c>
      <c r="B550" s="84"/>
      <c r="C550" s="92">
        <f>' gsis'!R39</f>
        <v>4563.25</v>
      </c>
      <c r="D550" s="72"/>
      <c r="E550" s="72" t="s">
        <v>464</v>
      </c>
      <c r="F550" s="84"/>
      <c r="G550" s="92"/>
    </row>
    <row r="551" spans="1:7">
      <c r="A551" s="72" t="s">
        <v>465</v>
      </c>
      <c r="B551" s="84"/>
      <c r="C551" s="92">
        <f>' gsis'!N39</f>
        <v>0</v>
      </c>
      <c r="D551" s="72"/>
      <c r="E551" s="72" t="s">
        <v>465</v>
      </c>
      <c r="F551" s="84"/>
      <c r="G551" s="92"/>
    </row>
    <row r="552" spans="1:7">
      <c r="A552" s="72" t="s">
        <v>485</v>
      </c>
      <c r="B552" s="84"/>
      <c r="C552" s="92">
        <f>' gsis'!S39</f>
        <v>2333.33</v>
      </c>
      <c r="D552" s="72"/>
      <c r="E552" s="72" t="s">
        <v>482</v>
      </c>
      <c r="F552" s="84"/>
      <c r="G552" s="92"/>
    </row>
    <row r="553" spans="1:7">
      <c r="A553" s="72" t="s">
        <v>467</v>
      </c>
      <c r="B553" s="84"/>
      <c r="C553" s="92">
        <f>' gsis'!Q39</f>
        <v>2272.3000000000002</v>
      </c>
      <c r="D553" s="72"/>
      <c r="E553" s="72" t="s">
        <v>497</v>
      </c>
      <c r="F553" s="84"/>
      <c r="G553" s="92"/>
    </row>
    <row r="554" spans="1:7">
      <c r="A554" s="72"/>
      <c r="B554" s="84"/>
      <c r="C554" s="83"/>
      <c r="D554" s="72"/>
      <c r="E554" s="72"/>
      <c r="F554" s="84"/>
      <c r="G554" s="83"/>
    </row>
    <row r="555" spans="1:7">
      <c r="A555" s="77" t="s">
        <v>470</v>
      </c>
      <c r="B555" s="84"/>
      <c r="C555" s="88">
        <f>SUM(B532:C553)</f>
        <v>20646</v>
      </c>
      <c r="D555" s="77"/>
      <c r="E555" s="77" t="s">
        <v>470</v>
      </c>
      <c r="F555" s="84"/>
      <c r="G555" s="88">
        <f>SUM(F532:G553)</f>
        <v>22701</v>
      </c>
    </row>
    <row r="556" spans="1:7">
      <c r="A556" s="77" t="s">
        <v>471</v>
      </c>
      <c r="B556" s="84"/>
      <c r="C556" s="80">
        <f>C530+C531-C555</f>
        <v>22360</v>
      </c>
      <c r="D556" s="77"/>
      <c r="E556" s="77" t="s">
        <v>471</v>
      </c>
      <c r="F556" s="84"/>
      <c r="G556" s="80">
        <f>G530+G531-G555</f>
        <v>59710</v>
      </c>
    </row>
    <row r="557" spans="1:7">
      <c r="A557" s="77"/>
      <c r="B557" s="72"/>
      <c r="C557" s="88"/>
      <c r="D557" s="77"/>
      <c r="E557" s="77"/>
      <c r="F557" s="72"/>
      <c r="G557" s="88"/>
    </row>
    <row r="558" spans="1:7">
      <c r="A558" s="72"/>
      <c r="B558" s="72"/>
      <c r="C558" s="72"/>
      <c r="D558" s="72"/>
      <c r="E558" s="72"/>
      <c r="F558" s="72"/>
      <c r="G558" s="72"/>
    </row>
    <row r="559" spans="1:7">
      <c r="A559" s="973" t="str">
        <f>A35</f>
        <v>MELINDA R. BARCELONA</v>
      </c>
      <c r="B559" s="973"/>
      <c r="C559" s="973"/>
      <c r="D559" s="77"/>
      <c r="E559" s="973" t="str">
        <f>A559</f>
        <v>MELINDA R. BARCELONA</v>
      </c>
      <c r="F559" s="973"/>
      <c r="G559" s="973"/>
    </row>
    <row r="560" spans="1:7">
      <c r="A560" s="972" t="str">
        <f>A36</f>
        <v>AO V/PAYROLL CLERK</v>
      </c>
      <c r="B560" s="972"/>
      <c r="C560" s="972"/>
      <c r="D560" s="72"/>
      <c r="E560" s="972" t="str">
        <f>A560</f>
        <v>AO V/PAYROLL CLERK</v>
      </c>
      <c r="F560" s="972"/>
      <c r="G560" s="972"/>
    </row>
    <row r="561" spans="1:7">
      <c r="A561" s="71"/>
      <c r="B561" s="71"/>
      <c r="C561" s="71"/>
      <c r="D561" s="72"/>
      <c r="E561" s="71"/>
      <c r="F561" s="71"/>
      <c r="G561" s="71"/>
    </row>
    <row r="562" spans="1:7">
      <c r="A562" s="972" t="s">
        <v>0</v>
      </c>
      <c r="B562" s="972"/>
      <c r="C562" s="972"/>
      <c r="D562" s="72"/>
      <c r="E562" s="972" t="s">
        <v>0</v>
      </c>
      <c r="F562" s="972"/>
      <c r="G562" s="972"/>
    </row>
    <row r="563" spans="1:7">
      <c r="A563" s="972" t="s">
        <v>1</v>
      </c>
      <c r="B563" s="972"/>
      <c r="C563" s="972"/>
      <c r="D563" s="72"/>
      <c r="E563" s="972" t="s">
        <v>1</v>
      </c>
      <c r="F563" s="972"/>
      <c r="G563" s="972"/>
    </row>
    <row r="564" spans="1:7">
      <c r="A564" s="972" t="s">
        <v>441</v>
      </c>
      <c r="B564" s="972"/>
      <c r="C564" s="972"/>
      <c r="D564" s="72"/>
      <c r="E564" s="972" t="s">
        <v>441</v>
      </c>
      <c r="F564" s="972"/>
      <c r="G564" s="972"/>
    </row>
    <row r="565" spans="1:7">
      <c r="A565" s="972" t="s">
        <v>342</v>
      </c>
      <c r="B565" s="972"/>
      <c r="C565" s="972"/>
      <c r="D565" s="72"/>
      <c r="E565" s="972" t="s">
        <v>342</v>
      </c>
      <c r="F565" s="972"/>
      <c r="G565" s="972"/>
    </row>
    <row r="566" spans="1:7">
      <c r="A566" s="972" t="s">
        <v>442</v>
      </c>
      <c r="B566" s="972"/>
      <c r="C566" s="972"/>
      <c r="D566" s="72"/>
      <c r="E566" s="972" t="s">
        <v>442</v>
      </c>
      <c r="F566" s="972"/>
      <c r="G566" s="972"/>
    </row>
    <row r="567" spans="1:7">
      <c r="A567" s="72" t="s">
        <v>443</v>
      </c>
      <c r="B567" s="974"/>
      <c r="C567" s="976"/>
      <c r="D567" s="72"/>
      <c r="E567" s="72" t="s">
        <v>443</v>
      </c>
      <c r="F567" s="974" t="str">
        <f>'payroll(FEB)'!C35</f>
        <v>RAUL M. CARRIDO</v>
      </c>
      <c r="G567" s="974"/>
    </row>
    <row r="568" spans="1:7">
      <c r="A568" s="72" t="s">
        <v>444</v>
      </c>
      <c r="B568" s="974"/>
      <c r="C568" s="976"/>
      <c r="D568" s="72"/>
      <c r="E568" s="72" t="s">
        <v>444</v>
      </c>
      <c r="F568" s="974" t="str">
        <f>'payroll(FEB)'!D35</f>
        <v>AQ II</v>
      </c>
      <c r="G568" s="974"/>
    </row>
    <row r="569" spans="1:7">
      <c r="A569" s="72" t="s">
        <v>446</v>
      </c>
      <c r="B569" s="975" t="str">
        <f>B529</f>
        <v>2/1-28/2026</v>
      </c>
      <c r="C569" s="976"/>
      <c r="D569" s="72"/>
      <c r="E569" s="72" t="s">
        <v>446</v>
      </c>
      <c r="F569" s="975" t="str">
        <f>B569</f>
        <v>2/1-28/2026</v>
      </c>
      <c r="G569" s="975"/>
    </row>
    <row r="570" spans="1:7">
      <c r="A570" s="77" t="s">
        <v>447</v>
      </c>
      <c r="B570" s="78"/>
      <c r="C570" s="88"/>
      <c r="D570" s="77"/>
      <c r="E570" s="77" t="s">
        <v>447</v>
      </c>
      <c r="F570" s="78"/>
      <c r="G570" s="88">
        <f>'payroll(FEB)'!E35</f>
        <v>41006</v>
      </c>
    </row>
    <row r="571" spans="1:7">
      <c r="A571" s="77" t="s">
        <v>30</v>
      </c>
      <c r="B571" s="100"/>
      <c r="C571" s="101"/>
      <c r="D571" s="77"/>
      <c r="E571" s="77" t="s">
        <v>30</v>
      </c>
      <c r="F571" s="78"/>
      <c r="G571" s="101">
        <f>'payroll(FEB)'!AC35</f>
        <v>2000</v>
      </c>
    </row>
    <row r="572" spans="1:7">
      <c r="A572" s="72" t="s">
        <v>449</v>
      </c>
      <c r="B572" s="72"/>
      <c r="C572" s="92"/>
      <c r="D572" s="72"/>
      <c r="E572" s="72" t="s">
        <v>449</v>
      </c>
      <c r="F572" s="72"/>
      <c r="G572" s="92"/>
    </row>
    <row r="573" spans="1:7">
      <c r="A573" s="72" t="s">
        <v>491</v>
      </c>
      <c r="B573" s="84"/>
      <c r="C573" s="92"/>
      <c r="D573" s="72"/>
      <c r="E573" s="72" t="s">
        <v>491</v>
      </c>
      <c r="F573" s="82"/>
      <c r="G573" s="92"/>
    </row>
    <row r="574" spans="1:7">
      <c r="A574" s="72" t="s">
        <v>134</v>
      </c>
      <c r="B574" s="84"/>
      <c r="C574" s="92"/>
      <c r="D574" s="72"/>
      <c r="E574" s="72" t="s">
        <v>134</v>
      </c>
      <c r="F574" s="82"/>
      <c r="G574" s="92"/>
    </row>
    <row r="575" spans="1:7">
      <c r="A575" s="72" t="s">
        <v>451</v>
      </c>
      <c r="B575" s="84"/>
      <c r="C575" s="92"/>
      <c r="D575" s="72"/>
      <c r="E575" s="72" t="s">
        <v>451</v>
      </c>
      <c r="F575" s="82"/>
      <c r="G575" s="92"/>
    </row>
    <row r="576" spans="1:7">
      <c r="A576" s="72" t="s">
        <v>452</v>
      </c>
      <c r="B576" s="84"/>
      <c r="C576" s="92"/>
      <c r="D576" s="72"/>
      <c r="E576" s="72" t="s">
        <v>452</v>
      </c>
      <c r="F576" s="82"/>
      <c r="G576" s="92"/>
    </row>
    <row r="577" spans="1:7">
      <c r="A577" s="72" t="s">
        <v>453</v>
      </c>
      <c r="B577" s="82"/>
      <c r="C577" s="92"/>
      <c r="D577" s="72"/>
      <c r="E577" s="72" t="s">
        <v>453</v>
      </c>
      <c r="F577" s="82"/>
      <c r="G577" s="92">
        <f>WTAX!H34</f>
        <v>3307.28</v>
      </c>
    </row>
    <row r="578" spans="1:7">
      <c r="A578" s="72" t="s">
        <v>454</v>
      </c>
      <c r="B578" s="84"/>
      <c r="C578" s="92"/>
      <c r="D578" s="72"/>
      <c r="E578" s="72" t="s">
        <v>454</v>
      </c>
      <c r="F578" s="82"/>
      <c r="G578" s="92"/>
    </row>
    <row r="579" spans="1:7">
      <c r="A579" s="72" t="s">
        <v>455</v>
      </c>
      <c r="B579" s="72"/>
      <c r="C579" s="92"/>
      <c r="D579" s="72"/>
      <c r="E579" s="72" t="s">
        <v>455</v>
      </c>
      <c r="F579" s="82"/>
      <c r="G579" s="92"/>
    </row>
    <row r="580" spans="1:7">
      <c r="A580" s="72" t="s">
        <v>456</v>
      </c>
      <c r="B580" s="102"/>
      <c r="C580" s="92"/>
      <c r="D580" s="72"/>
      <c r="E580" s="72" t="s">
        <v>456</v>
      </c>
      <c r="F580" s="82"/>
      <c r="G580" s="92">
        <f>'PHIC (1)'!W39</f>
        <v>1025.1500000000001</v>
      </c>
    </row>
    <row r="581" spans="1:7">
      <c r="A581" s="72" t="s">
        <v>457</v>
      </c>
      <c r="B581" s="84"/>
      <c r="C581" s="92"/>
      <c r="D581" s="72"/>
      <c r="E581" s="72" t="s">
        <v>457</v>
      </c>
      <c r="F581" s="82"/>
      <c r="G581" s="92">
        <f>'payroll(FEB)'!F35</f>
        <v>3690.54</v>
      </c>
    </row>
    <row r="582" spans="1:7">
      <c r="A582" s="72" t="s">
        <v>104</v>
      </c>
      <c r="B582" s="84"/>
      <c r="C582" s="92"/>
      <c r="D582" s="72"/>
      <c r="E582" s="72" t="s">
        <v>104</v>
      </c>
      <c r="F582" s="82"/>
      <c r="G582" s="92">
        <f>'PAG-IBIG'!H58</f>
        <v>200</v>
      </c>
    </row>
    <row r="583" spans="1:7">
      <c r="A583" s="72" t="s">
        <v>473</v>
      </c>
      <c r="B583" s="84"/>
      <c r="C583" s="92"/>
      <c r="D583" s="72"/>
      <c r="E583" s="72" t="s">
        <v>473</v>
      </c>
      <c r="F583" s="82"/>
      <c r="G583" s="92"/>
    </row>
    <row r="584" spans="1:7">
      <c r="A584" s="72" t="s">
        <v>125</v>
      </c>
      <c r="B584" s="84"/>
      <c r="C584" s="92"/>
      <c r="D584" s="72"/>
      <c r="E584" s="72" t="s">
        <v>125</v>
      </c>
      <c r="F584" s="82"/>
      <c r="G584" s="92"/>
    </row>
    <row r="585" spans="1:7">
      <c r="A585" s="72" t="s">
        <v>124</v>
      </c>
      <c r="B585" s="84"/>
      <c r="C585" s="92"/>
      <c r="D585" s="72"/>
      <c r="E585" s="72" t="s">
        <v>124</v>
      </c>
      <c r="F585" s="82"/>
      <c r="G585" s="92"/>
    </row>
    <row r="586" spans="1:7">
      <c r="A586" s="72" t="s">
        <v>458</v>
      </c>
      <c r="B586" s="84"/>
      <c r="C586" s="92"/>
      <c r="D586" s="72"/>
      <c r="E586" s="72" t="s">
        <v>458</v>
      </c>
      <c r="F586" s="82"/>
      <c r="G586" s="92">
        <f>CNGWMPC!S88</f>
        <v>7114.45</v>
      </c>
    </row>
    <row r="587" spans="1:7">
      <c r="A587" s="72" t="s">
        <v>459</v>
      </c>
      <c r="B587" s="72"/>
      <c r="C587" s="92"/>
      <c r="D587" s="72"/>
      <c r="E587" s="72" t="s">
        <v>459</v>
      </c>
      <c r="F587" s="82"/>
      <c r="G587" s="92"/>
    </row>
    <row r="588" spans="1:7">
      <c r="A588" s="72" t="s">
        <v>460</v>
      </c>
      <c r="B588" s="102"/>
      <c r="C588" s="92"/>
      <c r="D588" s="72"/>
      <c r="E588" s="72" t="s">
        <v>460</v>
      </c>
      <c r="F588" s="82"/>
      <c r="G588" s="92"/>
    </row>
    <row r="589" spans="1:7">
      <c r="A589" s="72" t="s">
        <v>462</v>
      </c>
      <c r="B589" s="84"/>
      <c r="C589" s="92"/>
      <c r="D589" s="72"/>
      <c r="E589" s="72" t="s">
        <v>462</v>
      </c>
      <c r="F589" s="82"/>
      <c r="G589" s="92"/>
    </row>
    <row r="590" spans="1:7">
      <c r="A590" s="72" t="s">
        <v>464</v>
      </c>
      <c r="B590" s="84"/>
      <c r="C590" s="92"/>
      <c r="D590" s="72"/>
      <c r="E590" s="72" t="s">
        <v>464</v>
      </c>
      <c r="F590" s="82"/>
      <c r="G590" s="92"/>
    </row>
    <row r="591" spans="1:7">
      <c r="A591" s="72" t="s">
        <v>465</v>
      </c>
      <c r="B591" s="84"/>
      <c r="C591" s="92"/>
      <c r="D591" s="72"/>
      <c r="E591" s="72" t="s">
        <v>465</v>
      </c>
      <c r="F591" s="82"/>
      <c r="G591" s="92">
        <f>' gsis'!N65</f>
        <v>1099.53</v>
      </c>
    </row>
    <row r="592" spans="1:7">
      <c r="A592" s="72" t="s">
        <v>488</v>
      </c>
      <c r="B592" s="84"/>
      <c r="C592" s="92"/>
      <c r="D592" s="72"/>
      <c r="E592" s="72" t="s">
        <v>463</v>
      </c>
      <c r="F592" s="82"/>
      <c r="G592" s="92">
        <f>' gsis'!R65</f>
        <v>6109.05</v>
      </c>
    </row>
    <row r="593" spans="1:7">
      <c r="A593" s="72" t="s">
        <v>482</v>
      </c>
      <c r="B593" s="72"/>
      <c r="C593" s="92"/>
      <c r="D593" s="72"/>
      <c r="E593" s="72" t="s">
        <v>496</v>
      </c>
      <c r="F593" s="82"/>
      <c r="G593" s="92"/>
    </row>
    <row r="594" spans="1:7">
      <c r="A594" s="72" t="s">
        <v>497</v>
      </c>
      <c r="B594" s="102"/>
      <c r="C594" s="92"/>
      <c r="D594" s="72"/>
      <c r="E594" s="72" t="s">
        <v>497</v>
      </c>
      <c r="F594" s="82"/>
      <c r="G594" s="92"/>
    </row>
    <row r="595" spans="1:7">
      <c r="A595" s="72"/>
      <c r="B595" s="102"/>
      <c r="C595" s="103"/>
      <c r="D595" s="72"/>
      <c r="E595" s="72"/>
      <c r="F595" s="82"/>
      <c r="G595" s="103"/>
    </row>
    <row r="596" spans="1:7">
      <c r="A596" s="77" t="s">
        <v>470</v>
      </c>
      <c r="B596" s="102"/>
      <c r="C596" s="88">
        <f>SUM(B573:C594)</f>
        <v>0</v>
      </c>
      <c r="D596" s="77"/>
      <c r="E596" s="77" t="s">
        <v>470</v>
      </c>
      <c r="F596" s="82"/>
      <c r="G596" s="88">
        <f>SUM(F573:G594)</f>
        <v>22546</v>
      </c>
    </row>
    <row r="597" spans="1:7">
      <c r="A597" s="77" t="s">
        <v>471</v>
      </c>
      <c r="B597" s="84"/>
      <c r="C597" s="80">
        <f>C570+C571-C596</f>
        <v>0</v>
      </c>
      <c r="D597" s="77"/>
      <c r="E597" s="77" t="s">
        <v>471</v>
      </c>
      <c r="F597" s="82"/>
      <c r="G597" s="80">
        <f>G570+G571-G596</f>
        <v>20460</v>
      </c>
    </row>
    <row r="598" spans="1:7">
      <c r="A598" s="77"/>
      <c r="B598" s="77"/>
      <c r="C598" s="77"/>
      <c r="D598" s="77"/>
      <c r="E598" s="77"/>
      <c r="F598" s="77"/>
      <c r="G598" s="77"/>
    </row>
    <row r="599" spans="1:7">
      <c r="A599" s="973" t="str">
        <f>A559</f>
        <v>MELINDA R. BARCELONA</v>
      </c>
      <c r="B599" s="973"/>
      <c r="C599" s="973"/>
      <c r="D599" s="77"/>
      <c r="E599" s="973" t="str">
        <f>A599</f>
        <v>MELINDA R. BARCELONA</v>
      </c>
      <c r="F599" s="973"/>
      <c r="G599" s="973"/>
    </row>
    <row r="600" spans="1:7">
      <c r="A600" s="972" t="str">
        <f>A560</f>
        <v>AO V/PAYROLL CLERK</v>
      </c>
      <c r="B600" s="972"/>
      <c r="C600" s="972"/>
      <c r="D600" s="72"/>
      <c r="E600" s="972" t="str">
        <f>A600</f>
        <v>AO V/PAYROLL CLERK</v>
      </c>
      <c r="F600" s="972"/>
      <c r="G600" s="972"/>
    </row>
    <row r="601" spans="1:7">
      <c r="A601" s="71"/>
      <c r="B601" s="71"/>
      <c r="C601" s="71"/>
      <c r="D601" s="72"/>
      <c r="E601" s="71"/>
      <c r="F601" s="71"/>
      <c r="G601" s="71"/>
    </row>
    <row r="602" spans="1:7">
      <c r="A602" s="71"/>
      <c r="B602" s="71"/>
      <c r="C602" s="71"/>
      <c r="D602" s="72"/>
      <c r="E602" s="71"/>
      <c r="F602" s="71"/>
      <c r="G602" s="71"/>
    </row>
    <row r="603" spans="1:7">
      <c r="A603" s="972" t="s">
        <v>0</v>
      </c>
      <c r="B603" s="972"/>
      <c r="C603" s="972"/>
      <c r="D603" s="72"/>
      <c r="E603" s="972" t="s">
        <v>0</v>
      </c>
      <c r="F603" s="972"/>
      <c r="G603" s="972"/>
    </row>
    <row r="604" spans="1:7">
      <c r="A604" s="972" t="s">
        <v>1</v>
      </c>
      <c r="B604" s="972"/>
      <c r="C604" s="972"/>
      <c r="D604" s="72"/>
      <c r="E604" s="972" t="s">
        <v>1</v>
      </c>
      <c r="F604" s="972"/>
      <c r="G604" s="972"/>
    </row>
    <row r="605" spans="1:7">
      <c r="A605" s="972" t="s">
        <v>441</v>
      </c>
      <c r="B605" s="972"/>
      <c r="C605" s="972"/>
      <c r="D605" s="72"/>
      <c r="E605" s="972" t="s">
        <v>441</v>
      </c>
      <c r="F605" s="972"/>
      <c r="G605" s="972"/>
    </row>
    <row r="606" spans="1:7">
      <c r="A606" s="972" t="s">
        <v>342</v>
      </c>
      <c r="B606" s="972"/>
      <c r="C606" s="972"/>
      <c r="D606" s="72"/>
      <c r="E606" s="972" t="s">
        <v>342</v>
      </c>
      <c r="F606" s="972"/>
      <c r="G606" s="972"/>
    </row>
    <row r="607" spans="1:7">
      <c r="A607" s="972" t="s">
        <v>442</v>
      </c>
      <c r="B607" s="972"/>
      <c r="C607" s="972"/>
      <c r="D607" s="72"/>
      <c r="E607" s="972" t="s">
        <v>442</v>
      </c>
      <c r="F607" s="972"/>
      <c r="G607" s="972"/>
    </row>
    <row r="608" spans="1:7">
      <c r="A608" s="72" t="s">
        <v>443</v>
      </c>
      <c r="B608" s="974" t="str">
        <f>'payroll(FEB)'!C36</f>
        <v>ROWENA V. RAMOS</v>
      </c>
      <c r="C608" s="976"/>
      <c r="D608" s="72"/>
      <c r="E608" s="72" t="s">
        <v>443</v>
      </c>
      <c r="F608" s="974"/>
      <c r="G608" s="976"/>
    </row>
    <row r="609" spans="1:7">
      <c r="A609" s="72" t="s">
        <v>444</v>
      </c>
      <c r="B609" s="974" t="str">
        <f>'payroll(FEB)'!D36</f>
        <v>SR AQ</v>
      </c>
      <c r="C609" s="976"/>
      <c r="D609" s="72"/>
      <c r="E609" s="72" t="s">
        <v>444</v>
      </c>
      <c r="F609" s="974"/>
      <c r="G609" s="976"/>
    </row>
    <row r="610" spans="1:7">
      <c r="A610" s="72" t="s">
        <v>446</v>
      </c>
      <c r="B610" s="975" t="str">
        <f>B569</f>
        <v>2/1-28/2026</v>
      </c>
      <c r="C610" s="975"/>
      <c r="D610" s="72"/>
      <c r="E610" s="72" t="s">
        <v>446</v>
      </c>
      <c r="F610" s="975" t="str">
        <f>B610</f>
        <v>2/1-28/2026</v>
      </c>
      <c r="G610" s="976"/>
    </row>
    <row r="611" spans="1:7">
      <c r="A611" s="77" t="s">
        <v>447</v>
      </c>
      <c r="B611" s="78"/>
      <c r="C611" s="88">
        <f>'payroll(FEB)'!E36</f>
        <v>51304</v>
      </c>
      <c r="D611" s="77"/>
      <c r="E611" s="77" t="s">
        <v>447</v>
      </c>
      <c r="F611" s="78"/>
      <c r="G611" s="88"/>
    </row>
    <row r="612" spans="1:7">
      <c r="A612" s="77" t="s">
        <v>30</v>
      </c>
      <c r="B612" s="77"/>
      <c r="C612" s="90">
        <f>'payroll(FEB)'!AC36</f>
        <v>2000</v>
      </c>
      <c r="D612" s="77"/>
      <c r="E612" s="77" t="s">
        <v>30</v>
      </c>
      <c r="F612" s="78"/>
      <c r="G612" s="90"/>
    </row>
    <row r="613" spans="1:7">
      <c r="A613" s="72" t="s">
        <v>449</v>
      </c>
      <c r="B613" s="72"/>
      <c r="C613" s="88"/>
      <c r="D613" s="72"/>
      <c r="E613" s="72" t="s">
        <v>449</v>
      </c>
      <c r="F613" s="72"/>
      <c r="G613" s="92"/>
    </row>
    <row r="614" spans="1:7">
      <c r="A614" s="72" t="s">
        <v>518</v>
      </c>
      <c r="B614" s="82"/>
      <c r="C614" s="92"/>
      <c r="D614" s="72"/>
      <c r="E614" s="72" t="s">
        <v>450</v>
      </c>
      <c r="F614" s="82"/>
      <c r="G614" s="92"/>
    </row>
    <row r="615" spans="1:7">
      <c r="A615" s="72" t="s">
        <v>134</v>
      </c>
      <c r="B615" s="82"/>
      <c r="C615" s="92"/>
      <c r="D615" s="72"/>
      <c r="E615" s="72" t="s">
        <v>134</v>
      </c>
      <c r="F615" s="82"/>
      <c r="G615" s="92"/>
    </row>
    <row r="616" spans="1:7">
      <c r="A616" s="72" t="s">
        <v>451</v>
      </c>
      <c r="B616" s="82"/>
      <c r="C616" s="92"/>
      <c r="D616" s="72"/>
      <c r="E616" s="72" t="s">
        <v>451</v>
      </c>
      <c r="F616" s="82"/>
      <c r="G616" s="92"/>
    </row>
    <row r="617" spans="1:7">
      <c r="A617" s="72" t="s">
        <v>452</v>
      </c>
      <c r="B617" s="82"/>
      <c r="C617" s="92"/>
      <c r="D617" s="72"/>
      <c r="E617" s="72" t="s">
        <v>452</v>
      </c>
      <c r="F617" s="82"/>
      <c r="G617" s="92"/>
    </row>
    <row r="618" spans="1:7">
      <c r="A618" s="72" t="s">
        <v>453</v>
      </c>
      <c r="B618" s="82"/>
      <c r="C618" s="92">
        <f>WTAX!H35</f>
        <v>5518.71</v>
      </c>
      <c r="D618" s="72"/>
      <c r="E618" s="72" t="s">
        <v>453</v>
      </c>
      <c r="F618" s="82"/>
      <c r="G618" s="92"/>
    </row>
    <row r="619" spans="1:7">
      <c r="A619" s="72" t="s">
        <v>454</v>
      </c>
      <c r="B619" s="82"/>
      <c r="C619" s="92"/>
      <c r="D619" s="72"/>
      <c r="E619" s="72" t="s">
        <v>454</v>
      </c>
      <c r="F619" s="82"/>
      <c r="G619" s="92"/>
    </row>
    <row r="620" spans="1:7">
      <c r="A620" s="72" t="s">
        <v>455</v>
      </c>
      <c r="B620" s="82"/>
      <c r="C620" s="92"/>
      <c r="D620" s="72"/>
      <c r="E620" s="72" t="s">
        <v>455</v>
      </c>
      <c r="F620" s="82"/>
      <c r="G620" s="92"/>
    </row>
    <row r="621" spans="1:7">
      <c r="A621" s="72" t="s">
        <v>456</v>
      </c>
      <c r="B621" s="82"/>
      <c r="C621" s="92">
        <f>'PHIC (1)'!W40</f>
        <v>1282.5999999999999</v>
      </c>
      <c r="D621" s="72"/>
      <c r="E621" s="72" t="s">
        <v>456</v>
      </c>
      <c r="F621" s="82"/>
      <c r="G621" s="92"/>
    </row>
    <row r="622" spans="1:7">
      <c r="A622" s="72" t="s">
        <v>457</v>
      </c>
      <c r="B622" s="82"/>
      <c r="C622" s="92">
        <f>'payroll(FEB)'!F36</f>
        <v>4617.3599999999997</v>
      </c>
      <c r="D622" s="72"/>
      <c r="E622" s="72" t="s">
        <v>457</v>
      </c>
      <c r="F622" s="82"/>
      <c r="G622" s="92"/>
    </row>
    <row r="623" spans="1:7">
      <c r="A623" s="72" t="s">
        <v>104</v>
      </c>
      <c r="B623" s="82"/>
      <c r="C623" s="92">
        <f>'PAG-IBIG'!H59</f>
        <v>200</v>
      </c>
      <c r="D623" s="72"/>
      <c r="E623" s="72" t="s">
        <v>104</v>
      </c>
      <c r="F623" s="82"/>
      <c r="G623" s="92"/>
    </row>
    <row r="624" spans="1:7">
      <c r="A624" s="72" t="s">
        <v>473</v>
      </c>
      <c r="B624" s="82"/>
      <c r="C624" s="92"/>
      <c r="D624" s="72"/>
      <c r="E624" s="72" t="s">
        <v>473</v>
      </c>
      <c r="F624" s="82"/>
      <c r="G624" s="92"/>
    </row>
    <row r="625" spans="1:7">
      <c r="A625" s="72" t="s">
        <v>125</v>
      </c>
      <c r="B625" s="82"/>
      <c r="C625" s="92"/>
      <c r="D625" s="72"/>
      <c r="E625" s="72" t="s">
        <v>125</v>
      </c>
      <c r="F625" s="82"/>
      <c r="G625" s="92"/>
    </row>
    <row r="626" spans="1:7">
      <c r="A626" s="72" t="s">
        <v>124</v>
      </c>
      <c r="B626" s="82"/>
      <c r="C626" s="92"/>
      <c r="D626" s="72"/>
      <c r="E626" s="72" t="s">
        <v>124</v>
      </c>
      <c r="F626" s="82"/>
      <c r="G626" s="92"/>
    </row>
    <row r="627" spans="1:7">
      <c r="A627" s="72" t="s">
        <v>458</v>
      </c>
      <c r="B627" s="82"/>
      <c r="C627" s="92">
        <f>CNGWMPC!S89</f>
        <v>12483.45</v>
      </c>
      <c r="D627" s="72"/>
      <c r="E627" s="72" t="s">
        <v>458</v>
      </c>
      <c r="F627" s="82"/>
      <c r="G627" s="92"/>
    </row>
    <row r="628" spans="1:7">
      <c r="A628" s="72" t="s">
        <v>459</v>
      </c>
      <c r="B628" s="82"/>
      <c r="C628" s="92"/>
      <c r="D628" s="72"/>
      <c r="E628" s="72" t="s">
        <v>459</v>
      </c>
      <c r="F628" s="82"/>
      <c r="G628" s="92"/>
    </row>
    <row r="629" spans="1:7">
      <c r="A629" s="72" t="s">
        <v>460</v>
      </c>
      <c r="B629" s="82"/>
      <c r="C629" s="92"/>
      <c r="D629" s="72"/>
      <c r="E629" s="72" t="s">
        <v>460</v>
      </c>
      <c r="F629" s="82"/>
      <c r="G629" s="92"/>
    </row>
    <row r="630" spans="1:7">
      <c r="A630" s="72" t="s">
        <v>487</v>
      </c>
      <c r="B630" s="82"/>
      <c r="C630" s="92"/>
      <c r="D630" s="72"/>
      <c r="E630" s="72" t="s">
        <v>462</v>
      </c>
      <c r="F630" s="82"/>
      <c r="G630" s="92"/>
    </row>
    <row r="631" spans="1:7">
      <c r="A631" s="72" t="s">
        <v>464</v>
      </c>
      <c r="B631" s="82"/>
      <c r="C631" s="92"/>
      <c r="D631" s="72"/>
      <c r="E631" s="72" t="s">
        <v>464</v>
      </c>
      <c r="F631" s="82"/>
      <c r="G631" s="92"/>
    </row>
    <row r="632" spans="1:7">
      <c r="A632" s="72" t="s">
        <v>465</v>
      </c>
      <c r="B632" s="82"/>
      <c r="C632" s="92">
        <f>' gsis'!N66</f>
        <v>655.56</v>
      </c>
      <c r="D632" s="72"/>
      <c r="E632" s="72" t="s">
        <v>476</v>
      </c>
      <c r="F632" s="82"/>
      <c r="G632" s="92"/>
    </row>
    <row r="633" spans="1:7">
      <c r="A633" s="72" t="s">
        <v>482</v>
      </c>
      <c r="B633" s="82"/>
      <c r="C633" s="92"/>
      <c r="D633" s="72"/>
      <c r="E633" s="72" t="s">
        <v>519</v>
      </c>
      <c r="F633" s="82"/>
      <c r="G633" s="92"/>
    </row>
    <row r="634" spans="1:7">
      <c r="A634" s="72" t="s">
        <v>463</v>
      </c>
      <c r="B634" s="82"/>
      <c r="C634" s="92">
        <f>' gsis'!R66</f>
        <v>7636.32</v>
      </c>
      <c r="D634" s="72"/>
      <c r="E634" s="72" t="s">
        <v>497</v>
      </c>
      <c r="F634" s="82"/>
      <c r="G634" s="92"/>
    </row>
    <row r="635" spans="1:7">
      <c r="A635" s="72"/>
      <c r="B635" s="72"/>
      <c r="C635" s="83"/>
      <c r="D635" s="72"/>
      <c r="E635" s="72"/>
      <c r="F635" s="82"/>
      <c r="G635" s="83"/>
    </row>
    <row r="636" spans="1:7">
      <c r="A636" s="77" t="s">
        <v>470</v>
      </c>
      <c r="B636" s="82"/>
      <c r="C636" s="88">
        <f>SUM(C613:C634)</f>
        <v>32394</v>
      </c>
      <c r="D636" s="77"/>
      <c r="E636" s="77" t="s">
        <v>470</v>
      </c>
      <c r="F636" s="82"/>
      <c r="G636" s="88">
        <f>SUM(G613:G634)</f>
        <v>0</v>
      </c>
    </row>
    <row r="637" spans="1:7">
      <c r="A637" s="77" t="s">
        <v>471</v>
      </c>
      <c r="B637" s="82"/>
      <c r="C637" s="80">
        <f>C611+C612-C636</f>
        <v>20910</v>
      </c>
      <c r="D637" s="77"/>
      <c r="E637" s="77" t="s">
        <v>471</v>
      </c>
      <c r="F637" s="82"/>
      <c r="G637" s="80">
        <f>G611+G612-G636</f>
        <v>0</v>
      </c>
    </row>
    <row r="638" spans="1:7">
      <c r="A638" s="72"/>
      <c r="B638" s="72"/>
      <c r="C638" s="72"/>
      <c r="D638" s="72"/>
      <c r="E638" s="72"/>
      <c r="F638" s="72"/>
      <c r="G638" s="72"/>
    </row>
    <row r="639" spans="1:7">
      <c r="A639" s="973" t="str">
        <f>A35</f>
        <v>MELINDA R. BARCELONA</v>
      </c>
      <c r="B639" s="973"/>
      <c r="C639" s="973"/>
      <c r="D639" s="77"/>
      <c r="E639" s="973" t="str">
        <f>A639</f>
        <v>MELINDA R. BARCELONA</v>
      </c>
      <c r="F639" s="973"/>
      <c r="G639" s="973"/>
    </row>
    <row r="640" spans="1:7">
      <c r="A640" s="972" t="str">
        <f>A36</f>
        <v>AO V/PAYROLL CLERK</v>
      </c>
      <c r="B640" s="972"/>
      <c r="C640" s="972"/>
      <c r="D640" s="72"/>
      <c r="E640" s="972" t="str">
        <f>A640</f>
        <v>AO V/PAYROLL CLERK</v>
      </c>
      <c r="F640" s="972"/>
      <c r="G640" s="972"/>
    </row>
    <row r="641" spans="1:7">
      <c r="A641" s="72"/>
      <c r="B641" s="72"/>
      <c r="C641" s="72"/>
      <c r="D641" s="72"/>
      <c r="E641" s="72"/>
      <c r="F641" s="72"/>
      <c r="G641" s="72"/>
    </row>
    <row r="642" spans="1:7">
      <c r="A642" s="972" t="s">
        <v>0</v>
      </c>
      <c r="B642" s="972"/>
      <c r="C642" s="972"/>
      <c r="D642" s="72"/>
      <c r="E642" s="972" t="s">
        <v>0</v>
      </c>
      <c r="F642" s="972"/>
      <c r="G642" s="972"/>
    </row>
    <row r="643" spans="1:7">
      <c r="A643" s="972" t="s">
        <v>1</v>
      </c>
      <c r="B643" s="972"/>
      <c r="C643" s="972"/>
      <c r="D643" s="72"/>
      <c r="E643" s="972" t="s">
        <v>1</v>
      </c>
      <c r="F643" s="972"/>
      <c r="G643" s="972"/>
    </row>
    <row r="644" spans="1:7">
      <c r="A644" s="972" t="s">
        <v>441</v>
      </c>
      <c r="B644" s="972"/>
      <c r="C644" s="972"/>
      <c r="D644" s="72"/>
      <c r="E644" s="972" t="s">
        <v>441</v>
      </c>
      <c r="F644" s="972"/>
      <c r="G644" s="972"/>
    </row>
    <row r="645" spans="1:7">
      <c r="A645" s="972" t="s">
        <v>342</v>
      </c>
      <c r="B645" s="972"/>
      <c r="C645" s="972"/>
      <c r="D645" s="72"/>
      <c r="E645" s="972" t="s">
        <v>342</v>
      </c>
      <c r="F645" s="972"/>
      <c r="G645" s="972"/>
    </row>
    <row r="646" spans="1:7">
      <c r="A646" s="972" t="s">
        <v>442</v>
      </c>
      <c r="B646" s="972"/>
      <c r="C646" s="972"/>
      <c r="D646" s="72"/>
      <c r="E646" s="972" t="s">
        <v>442</v>
      </c>
      <c r="F646" s="972"/>
      <c r="G646" s="972"/>
    </row>
    <row r="647" spans="1:7">
      <c r="A647" s="72" t="s">
        <v>443</v>
      </c>
      <c r="B647" s="974" t="str">
        <f>'payroll(FEB)'!C37</f>
        <v>DESIREE J. RODRIGUEZ</v>
      </c>
      <c r="C647" s="976"/>
      <c r="D647" s="72"/>
      <c r="E647" s="72" t="s">
        <v>443</v>
      </c>
      <c r="F647" s="974"/>
      <c r="G647" s="976"/>
    </row>
    <row r="648" spans="1:7">
      <c r="A648" s="72" t="s">
        <v>444</v>
      </c>
      <c r="B648" s="974" t="str">
        <f>'payroll(FEB)'!D37</f>
        <v>AAQII</v>
      </c>
      <c r="C648" s="976"/>
      <c r="D648" s="72"/>
      <c r="E648" s="72" t="s">
        <v>444</v>
      </c>
      <c r="F648" s="974"/>
      <c r="G648" s="976"/>
    </row>
    <row r="649" spans="1:7">
      <c r="A649" s="72" t="s">
        <v>446</v>
      </c>
      <c r="B649" s="975" t="str">
        <f>B610</f>
        <v>2/1-28/2026</v>
      </c>
      <c r="C649" s="976"/>
      <c r="D649" s="72"/>
      <c r="E649" s="72" t="s">
        <v>446</v>
      </c>
      <c r="F649" s="975" t="str">
        <f>B649</f>
        <v>2/1-28/2026</v>
      </c>
      <c r="G649" s="976"/>
    </row>
    <row r="650" spans="1:7">
      <c r="A650" s="77" t="s">
        <v>447</v>
      </c>
      <c r="B650" s="78"/>
      <c r="C650" s="88">
        <f>'payroll(FEB)'!E37</f>
        <v>40208</v>
      </c>
      <c r="D650" s="77"/>
      <c r="E650" s="77" t="s">
        <v>447</v>
      </c>
      <c r="F650" s="78"/>
      <c r="G650" s="88"/>
    </row>
    <row r="651" spans="1:7">
      <c r="A651" s="77" t="s">
        <v>30</v>
      </c>
      <c r="B651" s="81"/>
      <c r="C651" s="93">
        <f>'payroll(FEB)'!AC37</f>
        <v>2000</v>
      </c>
      <c r="D651" s="77"/>
      <c r="E651" s="77" t="s">
        <v>30</v>
      </c>
      <c r="F651" s="78"/>
      <c r="G651" s="93"/>
    </row>
    <row r="652" spans="1:7">
      <c r="A652" s="72" t="s">
        <v>449</v>
      </c>
      <c r="B652" s="84"/>
      <c r="C652" s="92"/>
      <c r="D652" s="72"/>
      <c r="E652" s="72" t="s">
        <v>449</v>
      </c>
      <c r="F652" s="84"/>
      <c r="G652" s="92"/>
    </row>
    <row r="653" spans="1:7">
      <c r="A653" s="72" t="s">
        <v>450</v>
      </c>
      <c r="B653" s="82"/>
      <c r="C653" s="92"/>
      <c r="D653" s="72"/>
      <c r="E653" s="72" t="s">
        <v>450</v>
      </c>
      <c r="F653" s="82"/>
      <c r="G653" s="92"/>
    </row>
    <row r="654" spans="1:7">
      <c r="A654" s="72" t="s">
        <v>134</v>
      </c>
      <c r="B654" s="82"/>
      <c r="C654" s="92"/>
      <c r="D654" s="72"/>
      <c r="E654" s="72" t="s">
        <v>134</v>
      </c>
      <c r="F654" s="82"/>
      <c r="G654" s="92"/>
    </row>
    <row r="655" spans="1:7">
      <c r="A655" s="72" t="s">
        <v>451</v>
      </c>
      <c r="B655" s="82"/>
      <c r="C655" s="92"/>
      <c r="D655" s="72"/>
      <c r="E655" s="72" t="s">
        <v>451</v>
      </c>
      <c r="F655" s="82"/>
      <c r="G655" s="92"/>
    </row>
    <row r="656" spans="1:7">
      <c r="A656" s="72" t="s">
        <v>452</v>
      </c>
      <c r="B656" s="82"/>
      <c r="C656" s="92"/>
      <c r="D656" s="72"/>
      <c r="E656" s="72" t="s">
        <v>452</v>
      </c>
      <c r="F656" s="82"/>
      <c r="G656" s="92"/>
    </row>
    <row r="657" spans="1:7">
      <c r="A657" s="72" t="s">
        <v>453</v>
      </c>
      <c r="B657" s="82"/>
      <c r="C657" s="92">
        <f>WTAX!H36</f>
        <v>3135.93</v>
      </c>
      <c r="D657" s="72"/>
      <c r="E657" s="72" t="s">
        <v>453</v>
      </c>
      <c r="F657" s="82"/>
      <c r="G657" s="92"/>
    </row>
    <row r="658" spans="1:7">
      <c r="A658" s="72" t="s">
        <v>454</v>
      </c>
      <c r="B658" s="82"/>
      <c r="C658" s="92"/>
      <c r="D658" s="72"/>
      <c r="E658" s="72" t="s">
        <v>454</v>
      </c>
      <c r="F658" s="82"/>
      <c r="G658" s="92"/>
    </row>
    <row r="659" spans="1:7">
      <c r="A659" s="72" t="s">
        <v>455</v>
      </c>
      <c r="B659" s="82"/>
      <c r="C659" s="92"/>
      <c r="D659" s="72"/>
      <c r="E659" s="72" t="s">
        <v>455</v>
      </c>
      <c r="F659" s="82"/>
      <c r="G659" s="92"/>
    </row>
    <row r="660" spans="1:7">
      <c r="A660" s="72" t="s">
        <v>456</v>
      </c>
      <c r="B660" s="82"/>
      <c r="C660" s="92">
        <f>'PHIC (1)'!W41</f>
        <v>1005.2</v>
      </c>
      <c r="D660" s="72"/>
      <c r="E660" s="72" t="s">
        <v>456</v>
      </c>
      <c r="F660" s="82"/>
      <c r="G660" s="92"/>
    </row>
    <row r="661" spans="1:7">
      <c r="A661" s="72" t="s">
        <v>457</v>
      </c>
      <c r="B661" s="82"/>
      <c r="C661" s="92">
        <f>'payroll(FEB)'!F37</f>
        <v>3618.72</v>
      </c>
      <c r="D661" s="72"/>
      <c r="E661" s="72" t="s">
        <v>457</v>
      </c>
      <c r="F661" s="82"/>
      <c r="G661" s="92"/>
    </row>
    <row r="662" spans="1:7">
      <c r="A662" s="72" t="s">
        <v>104</v>
      </c>
      <c r="B662" s="82"/>
      <c r="C662" s="92">
        <f>'PAG-IBIG'!H60</f>
        <v>200</v>
      </c>
      <c r="D662" s="72"/>
      <c r="E662" s="72" t="s">
        <v>104</v>
      </c>
      <c r="F662" s="82"/>
      <c r="G662" s="92"/>
    </row>
    <row r="663" spans="1:7">
      <c r="A663" s="72" t="s">
        <v>473</v>
      </c>
      <c r="B663" s="82"/>
      <c r="C663" s="92"/>
      <c r="D663" s="72"/>
      <c r="E663" s="72" t="s">
        <v>473</v>
      </c>
      <c r="F663" s="82"/>
      <c r="G663" s="92"/>
    </row>
    <row r="664" spans="1:7">
      <c r="A664" s="72" t="s">
        <v>125</v>
      </c>
      <c r="B664" s="82"/>
      <c r="C664" s="92">
        <f>LBP!H19</f>
        <v>10258.27</v>
      </c>
      <c r="D664" s="72"/>
      <c r="E664" s="72" t="s">
        <v>125</v>
      </c>
      <c r="F664" s="82"/>
      <c r="G664" s="92"/>
    </row>
    <row r="665" spans="1:7">
      <c r="A665" s="72" t="s">
        <v>124</v>
      </c>
      <c r="B665" s="82"/>
      <c r="C665" s="92"/>
      <c r="D665" s="72"/>
      <c r="E665" s="72" t="s">
        <v>124</v>
      </c>
      <c r="F665" s="82"/>
      <c r="G665" s="92"/>
    </row>
    <row r="666" spans="1:7">
      <c r="A666" s="72" t="s">
        <v>458</v>
      </c>
      <c r="B666" s="82"/>
      <c r="C666" s="92">
        <f>CNGWMPC!S90</f>
        <v>9609.9</v>
      </c>
      <c r="D666" s="72"/>
      <c r="E666" s="72" t="s">
        <v>458</v>
      </c>
      <c r="F666" s="82"/>
      <c r="G666" s="92"/>
    </row>
    <row r="667" spans="1:7">
      <c r="A667" s="72" t="s">
        <v>459</v>
      </c>
      <c r="B667" s="82"/>
      <c r="C667" s="92"/>
      <c r="D667" s="72"/>
      <c r="E667" s="72" t="s">
        <v>459</v>
      </c>
      <c r="F667" s="82"/>
      <c r="G667" s="92"/>
    </row>
    <row r="668" spans="1:7">
      <c r="A668" s="72" t="s">
        <v>460</v>
      </c>
      <c r="B668" s="82"/>
      <c r="C668" s="92"/>
      <c r="D668" s="72"/>
      <c r="E668" s="72" t="s">
        <v>460</v>
      </c>
      <c r="F668" s="82"/>
      <c r="G668" s="92"/>
    </row>
    <row r="669" spans="1:7">
      <c r="A669" s="72" t="s">
        <v>462</v>
      </c>
      <c r="B669" s="82"/>
      <c r="C669" s="92"/>
      <c r="D669" s="72"/>
      <c r="E669" s="72" t="s">
        <v>487</v>
      </c>
      <c r="F669" s="82"/>
      <c r="G669" s="92"/>
    </row>
    <row r="670" spans="1:7">
      <c r="A670" s="72" t="s">
        <v>512</v>
      </c>
      <c r="B670" s="82"/>
      <c r="C670" s="92">
        <f>' gsis'!S67</f>
        <v>1400</v>
      </c>
      <c r="D670" s="72"/>
      <c r="E670" s="72" t="s">
        <v>464</v>
      </c>
      <c r="F670" s="82"/>
      <c r="G670" s="92"/>
    </row>
    <row r="671" spans="1:7">
      <c r="A671" s="72" t="s">
        <v>465</v>
      </c>
      <c r="B671" s="82"/>
      <c r="C671" s="92">
        <f>' gsis'!N67</f>
        <v>0</v>
      </c>
      <c r="D671" s="72"/>
      <c r="E671" s="72" t="s">
        <v>476</v>
      </c>
      <c r="F671" s="82"/>
      <c r="G671" s="92"/>
    </row>
    <row r="672" spans="1:7">
      <c r="A672" s="72" t="s">
        <v>463</v>
      </c>
      <c r="B672" s="82"/>
      <c r="C672" s="92">
        <f>' gsis'!R67</f>
        <v>5180.3100000000004</v>
      </c>
      <c r="D672" s="72"/>
      <c r="E672" s="72" t="s">
        <v>482</v>
      </c>
      <c r="F672" s="82"/>
      <c r="G672" s="92"/>
    </row>
    <row r="673" spans="1:7">
      <c r="A673" s="72" t="s">
        <v>699</v>
      </c>
      <c r="B673" s="82"/>
      <c r="C673" s="92">
        <f>' gsis'!P67</f>
        <v>1966.67</v>
      </c>
      <c r="D673" s="72"/>
      <c r="E673" s="72" t="s">
        <v>520</v>
      </c>
      <c r="F673" s="82"/>
      <c r="G673" s="92"/>
    </row>
    <row r="674" spans="1:7">
      <c r="A674" s="72"/>
      <c r="B674" s="84"/>
      <c r="C674" s="85"/>
      <c r="D674" s="72"/>
      <c r="E674" s="72"/>
      <c r="F674" s="82"/>
      <c r="G674" s="85"/>
    </row>
    <row r="675" spans="1:7">
      <c r="A675" s="77" t="s">
        <v>470</v>
      </c>
      <c r="B675" s="82"/>
      <c r="C675" s="88">
        <f>SUM(C653:C673)</f>
        <v>36375</v>
      </c>
      <c r="D675" s="77"/>
      <c r="E675" s="77" t="s">
        <v>470</v>
      </c>
      <c r="F675" s="82"/>
      <c r="G675" s="88">
        <f>SUM(G653:G673)</f>
        <v>0</v>
      </c>
    </row>
    <row r="676" spans="1:7">
      <c r="A676" s="77" t="s">
        <v>471</v>
      </c>
      <c r="B676" s="82"/>
      <c r="C676" s="80">
        <f>C650+C651-C675</f>
        <v>5833</v>
      </c>
      <c r="D676" s="77"/>
      <c r="E676" s="77" t="s">
        <v>471</v>
      </c>
      <c r="F676" s="82"/>
      <c r="G676" s="80">
        <f>G650+G651-G675</f>
        <v>0</v>
      </c>
    </row>
    <row r="677" spans="1:7">
      <c r="A677" s="77"/>
      <c r="B677" s="77"/>
      <c r="C677" s="77"/>
      <c r="D677" s="77"/>
      <c r="E677" s="77"/>
      <c r="F677" s="77"/>
      <c r="G677" s="77"/>
    </row>
    <row r="678" spans="1:7">
      <c r="A678" s="72"/>
      <c r="B678" s="72"/>
      <c r="C678" s="72"/>
      <c r="D678" s="72"/>
      <c r="E678" s="72"/>
      <c r="F678" s="72"/>
      <c r="G678" s="72"/>
    </row>
    <row r="679" spans="1:7">
      <c r="A679" s="973" t="str">
        <f>A639</f>
        <v>MELINDA R. BARCELONA</v>
      </c>
      <c r="B679" s="973"/>
      <c r="C679" s="973"/>
      <c r="D679" s="77"/>
      <c r="E679" s="973" t="str">
        <f>A679</f>
        <v>MELINDA R. BARCELONA</v>
      </c>
      <c r="F679" s="973"/>
      <c r="G679" s="973"/>
    </row>
    <row r="680" spans="1:7">
      <c r="A680" s="972" t="str">
        <f>A640</f>
        <v>AO V/PAYROLL CLERK</v>
      </c>
      <c r="B680" s="972"/>
      <c r="C680" s="972"/>
      <c r="D680" s="72"/>
      <c r="E680" s="972" t="str">
        <f>A680</f>
        <v>AO V/PAYROLL CLERK</v>
      </c>
      <c r="F680" s="972"/>
      <c r="G680" s="972"/>
    </row>
    <row r="681" spans="1:7">
      <c r="A681" s="71"/>
      <c r="B681" s="71"/>
      <c r="C681" s="71"/>
      <c r="D681" s="72"/>
      <c r="E681" s="71"/>
      <c r="F681" s="71"/>
      <c r="G681" s="71"/>
    </row>
    <row r="682" spans="1:7">
      <c r="A682" s="71"/>
      <c r="B682" s="71"/>
      <c r="C682" s="71"/>
      <c r="D682" s="72"/>
      <c r="E682" s="71"/>
      <c r="F682" s="71"/>
      <c r="G682" s="71"/>
    </row>
    <row r="683" spans="1:7">
      <c r="A683" s="972" t="s">
        <v>0</v>
      </c>
      <c r="B683" s="972"/>
      <c r="C683" s="972"/>
      <c r="D683" s="72"/>
      <c r="E683" s="972" t="s">
        <v>0</v>
      </c>
      <c r="F683" s="972"/>
      <c r="G683" s="972"/>
    </row>
    <row r="684" spans="1:7">
      <c r="A684" s="972" t="s">
        <v>1</v>
      </c>
      <c r="B684" s="972"/>
      <c r="C684" s="972"/>
      <c r="D684" s="72"/>
      <c r="E684" s="972" t="s">
        <v>1</v>
      </c>
      <c r="F684" s="972"/>
      <c r="G684" s="972"/>
    </row>
    <row r="685" spans="1:7">
      <c r="A685" s="972" t="s">
        <v>441</v>
      </c>
      <c r="B685" s="972"/>
      <c r="C685" s="972"/>
      <c r="D685" s="72"/>
      <c r="E685" s="972" t="s">
        <v>441</v>
      </c>
      <c r="F685" s="972"/>
      <c r="G685" s="972"/>
    </row>
    <row r="686" spans="1:7">
      <c r="A686" s="972" t="s">
        <v>342</v>
      </c>
      <c r="B686" s="972"/>
      <c r="C686" s="972"/>
      <c r="D686" s="72"/>
      <c r="E686" s="972" t="s">
        <v>342</v>
      </c>
      <c r="F686" s="972"/>
      <c r="G686" s="972"/>
    </row>
    <row r="687" spans="1:7">
      <c r="A687" s="972" t="s">
        <v>442</v>
      </c>
      <c r="B687" s="972"/>
      <c r="C687" s="972"/>
      <c r="D687" s="72"/>
      <c r="E687" s="972" t="s">
        <v>442</v>
      </c>
      <c r="F687" s="972"/>
      <c r="G687" s="972"/>
    </row>
    <row r="688" spans="1:7">
      <c r="A688" s="72" t="s">
        <v>443</v>
      </c>
      <c r="B688" s="974"/>
      <c r="C688" s="976"/>
      <c r="D688" s="72"/>
      <c r="E688" s="72" t="s">
        <v>443</v>
      </c>
      <c r="F688" s="974"/>
      <c r="G688" s="976"/>
    </row>
    <row r="689" spans="1:7">
      <c r="A689" s="72" t="s">
        <v>444</v>
      </c>
      <c r="B689" s="974"/>
      <c r="C689" s="976"/>
      <c r="D689" s="72"/>
      <c r="E689" s="72" t="s">
        <v>444</v>
      </c>
      <c r="F689" s="974"/>
      <c r="G689" s="976"/>
    </row>
    <row r="690" spans="1:7">
      <c r="A690" s="72" t="s">
        <v>446</v>
      </c>
      <c r="B690" s="975" t="str">
        <f>B649</f>
        <v>2/1-28/2026</v>
      </c>
      <c r="C690" s="975"/>
      <c r="D690" s="72"/>
      <c r="E690" s="72" t="s">
        <v>446</v>
      </c>
      <c r="F690" s="975" t="str">
        <f>B690</f>
        <v>2/1-28/2026</v>
      </c>
      <c r="G690" s="976"/>
    </row>
    <row r="691" spans="1:7">
      <c r="A691" s="77" t="s">
        <v>447</v>
      </c>
      <c r="B691" s="78"/>
      <c r="C691" s="88"/>
      <c r="D691" s="77"/>
      <c r="E691" s="77" t="s">
        <v>447</v>
      </c>
      <c r="F691" s="78"/>
      <c r="G691" s="79"/>
    </row>
    <row r="692" spans="1:7">
      <c r="A692" s="77" t="s">
        <v>30</v>
      </c>
      <c r="B692" s="81"/>
      <c r="C692" s="80"/>
      <c r="D692" s="77"/>
      <c r="E692" s="77" t="s">
        <v>30</v>
      </c>
      <c r="F692" s="81"/>
      <c r="G692" s="80"/>
    </row>
    <row r="693" spans="1:7">
      <c r="A693" s="72" t="s">
        <v>449</v>
      </c>
      <c r="B693" s="84"/>
      <c r="C693" s="88"/>
      <c r="D693" s="72"/>
      <c r="E693" s="72" t="s">
        <v>449</v>
      </c>
      <c r="F693" s="84"/>
      <c r="G693" s="87"/>
    </row>
    <row r="694" spans="1:7">
      <c r="A694" s="72" t="s">
        <v>450</v>
      </c>
      <c r="B694" s="84"/>
      <c r="C694" s="92"/>
      <c r="D694" s="72"/>
      <c r="E694" s="72" t="s">
        <v>450</v>
      </c>
      <c r="F694" s="84"/>
      <c r="G694" s="87"/>
    </row>
    <row r="695" spans="1:7">
      <c r="A695" s="72" t="s">
        <v>134</v>
      </c>
      <c r="B695" s="82"/>
      <c r="C695" s="92"/>
      <c r="D695" s="72"/>
      <c r="E695" s="72" t="s">
        <v>134</v>
      </c>
      <c r="F695" s="84"/>
      <c r="G695" s="87"/>
    </row>
    <row r="696" spans="1:7">
      <c r="A696" s="72" t="s">
        <v>451</v>
      </c>
      <c r="B696" s="82"/>
      <c r="C696" s="92"/>
      <c r="D696" s="72"/>
      <c r="E696" s="72" t="s">
        <v>451</v>
      </c>
      <c r="F696" s="84"/>
      <c r="G696" s="87"/>
    </row>
    <row r="697" spans="1:7">
      <c r="A697" s="72" t="s">
        <v>452</v>
      </c>
      <c r="B697" s="82"/>
      <c r="C697" s="92"/>
      <c r="D697" s="72"/>
      <c r="E697" s="72" t="s">
        <v>452</v>
      </c>
      <c r="F697" s="84"/>
      <c r="G697" s="87"/>
    </row>
    <row r="698" spans="1:7">
      <c r="A698" s="72" t="s">
        <v>453</v>
      </c>
      <c r="B698" s="82"/>
      <c r="C698" s="92"/>
      <c r="D698" s="72"/>
      <c r="E698" s="72" t="s">
        <v>453</v>
      </c>
      <c r="F698" s="84"/>
      <c r="G698" s="87"/>
    </row>
    <row r="699" spans="1:7">
      <c r="A699" s="72" t="s">
        <v>454</v>
      </c>
      <c r="B699" s="82"/>
      <c r="C699" s="92"/>
      <c r="D699" s="72"/>
      <c r="E699" s="72" t="s">
        <v>454</v>
      </c>
      <c r="F699" s="84"/>
      <c r="G699" s="87"/>
    </row>
    <row r="700" spans="1:7">
      <c r="A700" s="72" t="s">
        <v>455</v>
      </c>
      <c r="B700" s="82"/>
      <c r="C700" s="92"/>
      <c r="D700" s="72"/>
      <c r="E700" s="72" t="s">
        <v>455</v>
      </c>
      <c r="F700" s="84"/>
      <c r="G700" s="87"/>
    </row>
    <row r="701" spans="1:7">
      <c r="A701" s="72" t="s">
        <v>456</v>
      </c>
      <c r="B701" s="82"/>
      <c r="C701" s="92"/>
      <c r="D701" s="72"/>
      <c r="E701" s="72" t="s">
        <v>456</v>
      </c>
      <c r="F701" s="84"/>
      <c r="G701" s="87"/>
    </row>
    <row r="702" spans="1:7">
      <c r="A702" s="72" t="s">
        <v>457</v>
      </c>
      <c r="B702" s="82"/>
      <c r="C702" s="92"/>
      <c r="D702" s="72"/>
      <c r="E702" s="72" t="s">
        <v>457</v>
      </c>
      <c r="F702" s="84"/>
      <c r="G702" s="87"/>
    </row>
    <row r="703" spans="1:7">
      <c r="A703" s="72" t="s">
        <v>104</v>
      </c>
      <c r="B703" s="82"/>
      <c r="C703" s="92"/>
      <c r="D703" s="72"/>
      <c r="E703" s="72" t="s">
        <v>104</v>
      </c>
      <c r="F703" s="84"/>
      <c r="G703" s="87"/>
    </row>
    <row r="704" spans="1:7">
      <c r="A704" s="72" t="s">
        <v>500</v>
      </c>
      <c r="B704" s="82"/>
      <c r="C704" s="92"/>
      <c r="D704" s="72"/>
      <c r="E704" s="72" t="s">
        <v>473</v>
      </c>
      <c r="F704" s="84"/>
      <c r="G704" s="87"/>
    </row>
    <row r="705" spans="1:7">
      <c r="A705" s="72" t="s">
        <v>125</v>
      </c>
      <c r="B705" s="82"/>
      <c r="C705" s="92"/>
      <c r="D705" s="72"/>
      <c r="E705" s="72" t="s">
        <v>125</v>
      </c>
      <c r="F705" s="84"/>
      <c r="G705" s="87"/>
    </row>
    <row r="706" spans="1:7">
      <c r="A706" s="72" t="s">
        <v>124</v>
      </c>
      <c r="B706" s="82"/>
      <c r="C706" s="92"/>
      <c r="D706" s="72"/>
      <c r="E706" s="72" t="s">
        <v>124</v>
      </c>
      <c r="F706" s="84"/>
      <c r="G706" s="87"/>
    </row>
    <row r="707" spans="1:7">
      <c r="A707" s="72" t="s">
        <v>458</v>
      </c>
      <c r="B707" s="82"/>
      <c r="C707" s="92"/>
      <c r="D707" s="72"/>
      <c r="E707" s="72" t="s">
        <v>458</v>
      </c>
      <c r="F707" s="84"/>
      <c r="G707" s="87"/>
    </row>
    <row r="708" spans="1:7">
      <c r="A708" s="72" t="s">
        <v>459</v>
      </c>
      <c r="B708" s="82"/>
      <c r="C708" s="92"/>
      <c r="D708" s="72"/>
      <c r="E708" s="72" t="s">
        <v>459</v>
      </c>
      <c r="F708" s="84"/>
      <c r="G708" s="87"/>
    </row>
    <row r="709" spans="1:7">
      <c r="A709" s="72" t="s">
        <v>461</v>
      </c>
      <c r="B709" s="82"/>
      <c r="C709" s="92"/>
      <c r="D709" s="72"/>
      <c r="E709" s="72" t="s">
        <v>511</v>
      </c>
      <c r="F709" s="84"/>
      <c r="G709" s="87"/>
    </row>
    <row r="710" spans="1:7">
      <c r="A710" s="72" t="s">
        <v>462</v>
      </c>
      <c r="B710" s="82"/>
      <c r="C710" s="92"/>
      <c r="D710" s="72"/>
      <c r="E710" s="72" t="s">
        <v>521</v>
      </c>
      <c r="F710" s="84"/>
      <c r="G710" s="87"/>
    </row>
    <row r="711" spans="1:7">
      <c r="A711" s="72" t="s">
        <v>464</v>
      </c>
      <c r="B711" s="82"/>
      <c r="C711" s="92"/>
      <c r="D711" s="72"/>
      <c r="E711" s="72" t="s">
        <v>464</v>
      </c>
      <c r="F711" s="84"/>
      <c r="G711" s="87"/>
    </row>
    <row r="712" spans="1:7">
      <c r="A712" s="72" t="s">
        <v>465</v>
      </c>
      <c r="B712" s="82"/>
      <c r="C712" s="92"/>
      <c r="D712" s="72"/>
      <c r="E712" s="72" t="s">
        <v>476</v>
      </c>
      <c r="F712" s="84"/>
      <c r="G712" s="87"/>
    </row>
    <row r="713" spans="1:7">
      <c r="A713" s="72" t="s">
        <v>482</v>
      </c>
      <c r="B713" s="82"/>
      <c r="C713" s="92"/>
      <c r="D713" s="72"/>
      <c r="E713" s="72" t="s">
        <v>482</v>
      </c>
      <c r="F713" s="84"/>
      <c r="G713" s="87"/>
    </row>
    <row r="714" spans="1:7">
      <c r="A714" s="72" t="s">
        <v>497</v>
      </c>
      <c r="B714" s="82"/>
      <c r="C714" s="92"/>
      <c r="D714" s="72"/>
      <c r="E714" s="72" t="s">
        <v>497</v>
      </c>
      <c r="F714" s="84"/>
      <c r="G714" s="87"/>
    </row>
    <row r="715" spans="1:7">
      <c r="A715" s="72" t="s">
        <v>522</v>
      </c>
      <c r="B715" s="84"/>
      <c r="C715" s="72"/>
      <c r="D715" s="72"/>
      <c r="E715" s="72" t="s">
        <v>522</v>
      </c>
      <c r="F715" s="84"/>
      <c r="G715" s="87"/>
    </row>
    <row r="716" spans="1:7">
      <c r="A716" s="72"/>
      <c r="B716" s="84"/>
      <c r="C716" s="70"/>
      <c r="D716" s="72"/>
      <c r="E716" s="72"/>
      <c r="F716" s="84"/>
      <c r="G716" s="70"/>
    </row>
    <row r="717" spans="1:7">
      <c r="A717" s="77" t="s">
        <v>470</v>
      </c>
      <c r="B717" s="82"/>
      <c r="C717" s="88">
        <f>SUM(C694:C715)</f>
        <v>0</v>
      </c>
      <c r="D717" s="77"/>
      <c r="E717" s="77" t="s">
        <v>470</v>
      </c>
      <c r="F717" s="84"/>
      <c r="G717" s="88">
        <f>SUM(G694:G715)</f>
        <v>0</v>
      </c>
    </row>
    <row r="718" spans="1:7">
      <c r="A718" s="72"/>
      <c r="B718" s="72"/>
      <c r="C718" s="72"/>
      <c r="D718" s="72"/>
      <c r="E718" s="72"/>
      <c r="F718" s="72"/>
      <c r="G718" s="72"/>
    </row>
    <row r="719" spans="1:7">
      <c r="A719" s="973" t="str">
        <f>A35</f>
        <v>MELINDA R. BARCELONA</v>
      </c>
      <c r="B719" s="973"/>
      <c r="C719" s="973"/>
      <c r="D719" s="77"/>
      <c r="E719" s="973" t="str">
        <f>A719</f>
        <v>MELINDA R. BARCELONA</v>
      </c>
      <c r="F719" s="973"/>
      <c r="G719" s="973"/>
    </row>
    <row r="720" spans="1:7">
      <c r="A720" s="972" t="str">
        <f>A36</f>
        <v>AO V/PAYROLL CLERK</v>
      </c>
      <c r="B720" s="972"/>
      <c r="C720" s="972"/>
      <c r="D720" s="72"/>
      <c r="E720" s="972" t="str">
        <f>A720</f>
        <v>AO V/PAYROLL CLERK</v>
      </c>
      <c r="F720" s="972"/>
      <c r="G720" s="972"/>
    </row>
    <row r="721" spans="1:7">
      <c r="A721" s="71"/>
      <c r="B721" s="71"/>
      <c r="C721" s="71"/>
      <c r="D721" s="72"/>
      <c r="E721" s="71"/>
      <c r="F721" s="71"/>
      <c r="G721" s="71"/>
    </row>
    <row r="722" spans="1:7">
      <c r="A722" s="972" t="s">
        <v>0</v>
      </c>
      <c r="B722" s="972"/>
      <c r="C722" s="972"/>
      <c r="D722" s="72"/>
      <c r="E722" s="972" t="s">
        <v>0</v>
      </c>
      <c r="F722" s="972"/>
      <c r="G722" s="972"/>
    </row>
    <row r="723" spans="1:7">
      <c r="A723" s="972" t="s">
        <v>1</v>
      </c>
      <c r="B723" s="972"/>
      <c r="C723" s="972"/>
      <c r="D723" s="72"/>
      <c r="E723" s="972" t="s">
        <v>1</v>
      </c>
      <c r="F723" s="972"/>
      <c r="G723" s="972"/>
    </row>
    <row r="724" spans="1:7">
      <c r="A724" s="972" t="s">
        <v>441</v>
      </c>
      <c r="B724" s="972"/>
      <c r="C724" s="972"/>
      <c r="D724" s="72"/>
      <c r="E724" s="972" t="s">
        <v>441</v>
      </c>
      <c r="F724" s="972"/>
      <c r="G724" s="972"/>
    </row>
    <row r="725" spans="1:7">
      <c r="A725" s="972" t="s">
        <v>342</v>
      </c>
      <c r="B725" s="972"/>
      <c r="C725" s="972"/>
      <c r="D725" s="72"/>
      <c r="E725" s="972" t="s">
        <v>342</v>
      </c>
      <c r="F725" s="972"/>
      <c r="G725" s="972"/>
    </row>
    <row r="726" spans="1:7">
      <c r="A726" s="972" t="s">
        <v>442</v>
      </c>
      <c r="B726" s="972"/>
      <c r="C726" s="972"/>
      <c r="D726" s="72"/>
      <c r="E726" s="972" t="s">
        <v>442</v>
      </c>
      <c r="F726" s="972"/>
      <c r="G726" s="972"/>
    </row>
    <row r="727" spans="1:7">
      <c r="A727" s="72" t="s">
        <v>443</v>
      </c>
      <c r="B727" s="974"/>
      <c r="C727" s="974"/>
      <c r="D727" s="72"/>
      <c r="E727" s="72" t="s">
        <v>443</v>
      </c>
      <c r="F727" s="974" t="str">
        <f>'payroll(FEB)'!C38</f>
        <v>ISAIAS R. BURAC</v>
      </c>
      <c r="G727" s="976"/>
    </row>
    <row r="728" spans="1:7">
      <c r="A728" s="72" t="s">
        <v>444</v>
      </c>
      <c r="B728" s="977"/>
      <c r="C728" s="977"/>
      <c r="D728" s="72"/>
      <c r="E728" s="72" t="s">
        <v>444</v>
      </c>
      <c r="F728" s="977" t="str">
        <f>'payroll(FEB)'!D38</f>
        <v>SA</v>
      </c>
      <c r="G728" s="978"/>
    </row>
    <row r="729" spans="1:7">
      <c r="A729" s="72" t="s">
        <v>446</v>
      </c>
      <c r="B729" s="975" t="str">
        <f>B8</f>
        <v>2/1-28/2026</v>
      </c>
      <c r="C729" s="975"/>
      <c r="D729" s="72"/>
      <c r="E729" s="72" t="s">
        <v>446</v>
      </c>
      <c r="F729" s="975" t="str">
        <f>B729</f>
        <v>2/1-28/2026</v>
      </c>
      <c r="G729" s="976"/>
    </row>
    <row r="730" spans="1:7">
      <c r="A730" s="77" t="s">
        <v>447</v>
      </c>
      <c r="B730" s="78"/>
      <c r="C730" s="88"/>
      <c r="D730" s="77"/>
      <c r="E730" s="77" t="s">
        <v>447</v>
      </c>
      <c r="F730" s="78"/>
      <c r="G730" s="88">
        <f>'payroll(FEB)'!E38</f>
        <v>78162</v>
      </c>
    </row>
    <row r="731" spans="1:7">
      <c r="A731" s="77" t="s">
        <v>30</v>
      </c>
      <c r="B731" s="77"/>
      <c r="C731" s="93"/>
      <c r="D731" s="77"/>
      <c r="E731" s="77" t="s">
        <v>30</v>
      </c>
      <c r="F731" s="78"/>
      <c r="G731" s="93">
        <f>'payroll(FEB)'!AC38</f>
        <v>2000</v>
      </c>
    </row>
    <row r="732" spans="1:7">
      <c r="A732" s="72" t="s">
        <v>449</v>
      </c>
      <c r="B732" s="72"/>
      <c r="C732" s="92"/>
      <c r="D732" s="72"/>
      <c r="E732" s="72" t="s">
        <v>449</v>
      </c>
      <c r="F732" s="72"/>
      <c r="G732" s="92"/>
    </row>
    <row r="733" spans="1:7">
      <c r="A733" s="72" t="s">
        <v>450</v>
      </c>
      <c r="B733" s="82"/>
      <c r="C733" s="92"/>
      <c r="D733" s="72"/>
      <c r="E733" s="72" t="s">
        <v>450</v>
      </c>
      <c r="F733" s="82"/>
      <c r="G733" s="92"/>
    </row>
    <row r="734" spans="1:7">
      <c r="A734" s="72" t="s">
        <v>134</v>
      </c>
      <c r="B734" s="82"/>
      <c r="C734" s="92"/>
      <c r="D734" s="72"/>
      <c r="E734" s="72" t="s">
        <v>134</v>
      </c>
      <c r="F734" s="82"/>
      <c r="G734" s="92"/>
    </row>
    <row r="735" spans="1:7">
      <c r="A735" s="72" t="s">
        <v>451</v>
      </c>
      <c r="B735" s="82"/>
      <c r="C735" s="92"/>
      <c r="D735" s="72"/>
      <c r="E735" s="72" t="s">
        <v>451</v>
      </c>
      <c r="F735" s="82"/>
      <c r="G735" s="92"/>
    </row>
    <row r="736" spans="1:7">
      <c r="A736" s="72" t="s">
        <v>452</v>
      </c>
      <c r="B736" s="82"/>
      <c r="C736" s="92"/>
      <c r="D736" s="72"/>
      <c r="E736" s="72" t="s">
        <v>452</v>
      </c>
      <c r="F736" s="82"/>
      <c r="G736" s="92"/>
    </row>
    <row r="737" spans="1:12">
      <c r="A737" s="72" t="s">
        <v>453</v>
      </c>
      <c r="B737" s="82"/>
      <c r="C737" s="92"/>
      <c r="D737" s="72"/>
      <c r="E737" s="72" t="s">
        <v>453</v>
      </c>
      <c r="F737" s="82"/>
      <c r="G737" s="92">
        <f>WTAX!H37</f>
        <v>11950.31</v>
      </c>
    </row>
    <row r="738" spans="1:12">
      <c r="A738" s="72" t="s">
        <v>454</v>
      </c>
      <c r="B738" s="82"/>
      <c r="C738" s="92"/>
      <c r="D738" s="72"/>
      <c r="E738" s="72" t="s">
        <v>454</v>
      </c>
      <c r="F738" s="82"/>
      <c r="G738" s="92"/>
    </row>
    <row r="739" spans="1:12">
      <c r="A739" s="72" t="s">
        <v>455</v>
      </c>
      <c r="B739" s="82"/>
      <c r="C739" s="92"/>
      <c r="D739" s="72"/>
      <c r="E739" s="72" t="s">
        <v>455</v>
      </c>
      <c r="F739" s="82"/>
      <c r="G739" s="92"/>
    </row>
    <row r="740" spans="1:12">
      <c r="A740" s="72" t="s">
        <v>456</v>
      </c>
      <c r="B740" s="82"/>
      <c r="C740" s="92"/>
      <c r="D740" s="72"/>
      <c r="E740" s="72" t="s">
        <v>456</v>
      </c>
      <c r="F740" s="82"/>
      <c r="G740" s="92">
        <f>'PHIC (1)'!W42</f>
        <v>1954.05</v>
      </c>
    </row>
    <row r="741" spans="1:12">
      <c r="A741" s="72" t="s">
        <v>457</v>
      </c>
      <c r="B741" s="82"/>
      <c r="C741" s="92"/>
      <c r="D741" s="72"/>
      <c r="E741" s="72" t="s">
        <v>457</v>
      </c>
      <c r="F741" s="82"/>
      <c r="G741" s="92">
        <f>'payroll(FEB)'!F38</f>
        <v>7034.58</v>
      </c>
    </row>
    <row r="742" spans="1:12">
      <c r="A742" s="72" t="s">
        <v>104</v>
      </c>
      <c r="B742" s="82"/>
      <c r="C742" s="92"/>
      <c r="D742" s="72"/>
      <c r="E742" s="72" t="s">
        <v>104</v>
      </c>
      <c r="F742" s="82"/>
      <c r="G742" s="92">
        <f>'PAG-IBIG'!H61</f>
        <v>200</v>
      </c>
    </row>
    <row r="743" spans="1:12">
      <c r="A743" s="72" t="s">
        <v>473</v>
      </c>
      <c r="B743" s="82"/>
      <c r="C743" s="92"/>
      <c r="D743" s="72"/>
      <c r="E743" s="72" t="s">
        <v>473</v>
      </c>
      <c r="F743" s="82"/>
      <c r="G743" s="92"/>
    </row>
    <row r="744" spans="1:12">
      <c r="A744" s="72" t="s">
        <v>125</v>
      </c>
      <c r="B744" s="82"/>
      <c r="C744" s="92"/>
      <c r="D744" s="72"/>
      <c r="E744" s="72" t="s">
        <v>125</v>
      </c>
      <c r="F744" s="82"/>
      <c r="G744" s="92">
        <f>LBP!H21</f>
        <v>15576.7</v>
      </c>
    </row>
    <row r="745" spans="1:12">
      <c r="A745" s="72" t="s">
        <v>124</v>
      </c>
      <c r="B745" s="82"/>
      <c r="C745" s="92"/>
      <c r="D745" s="72"/>
      <c r="E745" s="72" t="s">
        <v>124</v>
      </c>
      <c r="F745" s="82"/>
      <c r="G745" s="92">
        <f>DBP!G20</f>
        <v>13219.59</v>
      </c>
    </row>
    <row r="746" spans="1:12">
      <c r="A746" s="72" t="s">
        <v>458</v>
      </c>
      <c r="B746" s="82"/>
      <c r="C746" s="92"/>
      <c r="D746" s="72"/>
      <c r="E746" s="72" t="s">
        <v>458</v>
      </c>
      <c r="F746" s="82"/>
      <c r="G746" s="92">
        <f>CNGWMPC!S91</f>
        <v>6422.16</v>
      </c>
      <c r="L746" s="50" t="s">
        <v>523</v>
      </c>
    </row>
    <row r="747" spans="1:12">
      <c r="A747" s="72" t="s">
        <v>459</v>
      </c>
      <c r="B747" s="82"/>
      <c r="C747" s="92"/>
      <c r="D747" s="72"/>
      <c r="E747" s="72" t="s">
        <v>459</v>
      </c>
      <c r="F747" s="82"/>
      <c r="G747" s="92"/>
    </row>
    <row r="748" spans="1:12">
      <c r="A748" s="72" t="s">
        <v>460</v>
      </c>
      <c r="B748" s="82"/>
      <c r="C748" s="92"/>
      <c r="D748" s="72"/>
      <c r="E748" s="72" t="s">
        <v>460</v>
      </c>
      <c r="F748" s="82"/>
      <c r="G748" s="92"/>
    </row>
    <row r="749" spans="1:12">
      <c r="A749" s="72" t="s">
        <v>524</v>
      </c>
      <c r="B749" s="82"/>
      <c r="C749" s="92"/>
      <c r="D749" s="72"/>
      <c r="E749" s="72" t="s">
        <v>462</v>
      </c>
      <c r="F749" s="82"/>
      <c r="G749" s="92"/>
    </row>
    <row r="750" spans="1:12">
      <c r="A750" s="72" t="s">
        <v>464</v>
      </c>
      <c r="B750" s="82"/>
      <c r="C750" s="92"/>
      <c r="D750" s="72"/>
      <c r="E750" s="72" t="s">
        <v>464</v>
      </c>
      <c r="F750" s="82"/>
      <c r="G750" s="92"/>
    </row>
    <row r="751" spans="1:12">
      <c r="A751" s="72" t="s">
        <v>525</v>
      </c>
      <c r="B751" s="82"/>
      <c r="C751" s="92"/>
      <c r="D751" s="72"/>
      <c r="E751" s="72" t="s">
        <v>483</v>
      </c>
      <c r="F751" s="82"/>
      <c r="G751" s="92">
        <f>' gsis'!$M$68</f>
        <v>500</v>
      </c>
    </row>
    <row r="752" spans="1:12">
      <c r="A752" s="72" t="s">
        <v>463</v>
      </c>
      <c r="B752" s="82"/>
      <c r="C752" s="92"/>
      <c r="D752" s="72"/>
      <c r="E752" s="72" t="s">
        <v>690</v>
      </c>
      <c r="F752" s="82"/>
      <c r="G752" s="92">
        <f>' gsis'!R68</f>
        <v>8327.94</v>
      </c>
    </row>
    <row r="753" spans="1:7">
      <c r="A753" s="72" t="s">
        <v>526</v>
      </c>
      <c r="B753" s="82"/>
      <c r="C753" s="92"/>
      <c r="D753" s="72"/>
      <c r="E753" s="72" t="s">
        <v>699</v>
      </c>
      <c r="F753" s="82"/>
      <c r="G753" s="92">
        <f>' gsis'!$P$68</f>
        <v>1966.67</v>
      </c>
    </row>
    <row r="754" spans="1:7">
      <c r="A754" s="72"/>
      <c r="B754" s="72"/>
      <c r="C754" s="85"/>
      <c r="D754" s="72"/>
      <c r="E754" s="72"/>
      <c r="F754" s="82"/>
      <c r="G754" s="85"/>
    </row>
    <row r="755" spans="1:7">
      <c r="A755" s="77" t="s">
        <v>470</v>
      </c>
      <c r="B755" s="82"/>
      <c r="C755" s="88"/>
      <c r="D755" s="77"/>
      <c r="E755" s="77" t="s">
        <v>470</v>
      </c>
      <c r="F755" s="82"/>
      <c r="G755" s="88">
        <f>SUM(G732:G753)</f>
        <v>67152</v>
      </c>
    </row>
    <row r="756" spans="1:7">
      <c r="A756" s="77" t="s">
        <v>471</v>
      </c>
      <c r="B756" s="82"/>
      <c r="C756" s="80">
        <f>C730+C731-C755</f>
        <v>0</v>
      </c>
      <c r="D756" s="77"/>
      <c r="E756" s="77" t="s">
        <v>471</v>
      </c>
      <c r="F756" s="82"/>
      <c r="G756" s="80">
        <f>G730+G731-G755</f>
        <v>13010</v>
      </c>
    </row>
    <row r="757" spans="1:7">
      <c r="A757" s="77"/>
      <c r="B757" s="77"/>
      <c r="C757" s="77"/>
      <c r="D757" s="77"/>
      <c r="E757" s="77"/>
      <c r="F757" s="77"/>
      <c r="G757" s="77"/>
    </row>
    <row r="758" spans="1:7">
      <c r="A758" s="72"/>
      <c r="B758" s="72"/>
      <c r="C758" s="72"/>
      <c r="D758" s="72"/>
      <c r="E758" s="72"/>
      <c r="F758" s="72"/>
      <c r="G758" s="72"/>
    </row>
    <row r="759" spans="1:7">
      <c r="A759" s="973" t="str">
        <f>A719</f>
        <v>MELINDA R. BARCELONA</v>
      </c>
      <c r="B759" s="973"/>
      <c r="C759" s="973"/>
      <c r="D759" s="77"/>
      <c r="E759" s="973" t="str">
        <f>E719</f>
        <v>MELINDA R. BARCELONA</v>
      </c>
      <c r="F759" s="973"/>
      <c r="G759" s="973"/>
    </row>
    <row r="760" spans="1:7">
      <c r="A760" s="972" t="str">
        <f>A77</f>
        <v>AO V/PAYROLL CLERK</v>
      </c>
      <c r="B760" s="972"/>
      <c r="C760" s="972"/>
      <c r="D760" s="72"/>
      <c r="E760" s="972" t="str">
        <f>E77</f>
        <v>AO V/PAYROLL CLERK</v>
      </c>
      <c r="F760" s="972"/>
      <c r="G760" s="972"/>
    </row>
    <row r="761" spans="1:7">
      <c r="A761" s="71"/>
      <c r="B761" s="71"/>
      <c r="C761" s="71"/>
      <c r="D761" s="72"/>
      <c r="E761" s="71"/>
      <c r="F761" s="71"/>
      <c r="G761" s="71"/>
    </row>
    <row r="762" spans="1:7">
      <c r="A762" s="972" t="s">
        <v>0</v>
      </c>
      <c r="B762" s="972"/>
      <c r="C762" s="972"/>
      <c r="D762" s="72"/>
      <c r="E762" s="972" t="s">
        <v>0</v>
      </c>
      <c r="F762" s="972"/>
      <c r="G762" s="972"/>
    </row>
    <row r="763" spans="1:7">
      <c r="A763" s="972" t="s">
        <v>1</v>
      </c>
      <c r="B763" s="972"/>
      <c r="C763" s="972"/>
      <c r="D763" s="72"/>
      <c r="E763" s="972" t="s">
        <v>1</v>
      </c>
      <c r="F763" s="972"/>
      <c r="G763" s="972"/>
    </row>
    <row r="764" spans="1:7">
      <c r="A764" s="972" t="s">
        <v>441</v>
      </c>
      <c r="B764" s="972"/>
      <c r="C764" s="972"/>
      <c r="D764" s="72"/>
      <c r="E764" s="972" t="s">
        <v>441</v>
      </c>
      <c r="F764" s="972"/>
      <c r="G764" s="972"/>
    </row>
    <row r="765" spans="1:7">
      <c r="A765" s="972" t="s">
        <v>342</v>
      </c>
      <c r="B765" s="972"/>
      <c r="C765" s="972"/>
      <c r="D765" s="72"/>
      <c r="E765" s="972" t="s">
        <v>342</v>
      </c>
      <c r="F765" s="972"/>
      <c r="G765" s="972"/>
    </row>
    <row r="766" spans="1:7">
      <c r="A766" s="972" t="s">
        <v>442</v>
      </c>
      <c r="B766" s="972"/>
      <c r="C766" s="972"/>
      <c r="D766" s="72"/>
      <c r="E766" s="972" t="s">
        <v>442</v>
      </c>
      <c r="F766" s="972"/>
      <c r="G766" s="972"/>
    </row>
    <row r="767" spans="1:7">
      <c r="A767" s="72" t="s">
        <v>443</v>
      </c>
      <c r="B767" s="974"/>
      <c r="C767" s="976"/>
      <c r="D767" s="72"/>
      <c r="E767" s="72" t="s">
        <v>443</v>
      </c>
      <c r="F767" s="974" t="str">
        <f>'payroll(FEB)'!C39</f>
        <v>EFREN D. BALANG</v>
      </c>
      <c r="G767" s="976"/>
    </row>
    <row r="768" spans="1:7">
      <c r="A768" s="72" t="s">
        <v>444</v>
      </c>
      <c r="B768" s="977"/>
      <c r="C768" s="978"/>
      <c r="D768" s="72"/>
      <c r="E768" s="72" t="s">
        <v>444</v>
      </c>
      <c r="F768" s="977" t="str">
        <f>'payroll(FEB)'!D39</f>
        <v>AA III</v>
      </c>
      <c r="G768" s="978"/>
    </row>
    <row r="769" spans="1:7">
      <c r="A769" s="72" t="s">
        <v>446</v>
      </c>
      <c r="B769" s="975" t="str">
        <f>PAYSLIP!B729</f>
        <v>2/1-28/2026</v>
      </c>
      <c r="C769" s="976"/>
      <c r="D769" s="72"/>
      <c r="E769" s="72" t="s">
        <v>446</v>
      </c>
      <c r="F769" s="975" t="str">
        <f>B769</f>
        <v>2/1-28/2026</v>
      </c>
      <c r="G769" s="976"/>
    </row>
    <row r="770" spans="1:7">
      <c r="A770" s="77" t="s">
        <v>447</v>
      </c>
      <c r="B770" s="78"/>
      <c r="C770" s="88"/>
      <c r="D770" s="77"/>
      <c r="E770" s="77" t="s">
        <v>447</v>
      </c>
      <c r="F770" s="78"/>
      <c r="G770" s="88">
        <f>'payroll(FEB)'!E39</f>
        <v>16088</v>
      </c>
    </row>
    <row r="771" spans="1:7">
      <c r="A771" s="77" t="s">
        <v>30</v>
      </c>
      <c r="B771" s="77"/>
      <c r="C771" s="93"/>
      <c r="D771" s="77"/>
      <c r="E771" s="77" t="s">
        <v>30</v>
      </c>
      <c r="F771" s="78"/>
      <c r="G771" s="93">
        <f>'payroll(FEB)'!AC39</f>
        <v>2000</v>
      </c>
    </row>
    <row r="772" spans="1:7">
      <c r="A772" s="72" t="s">
        <v>449</v>
      </c>
      <c r="B772" s="72"/>
      <c r="C772" s="92"/>
      <c r="D772" s="72"/>
      <c r="E772" s="72" t="s">
        <v>449</v>
      </c>
      <c r="F772" s="72"/>
      <c r="G772" s="92"/>
    </row>
    <row r="773" spans="1:7">
      <c r="A773" s="72" t="s">
        <v>134</v>
      </c>
      <c r="B773" s="82"/>
      <c r="C773" s="92"/>
      <c r="D773" s="72"/>
      <c r="E773" s="72" t="s">
        <v>134</v>
      </c>
      <c r="F773" s="82"/>
      <c r="G773" s="92"/>
    </row>
    <row r="774" spans="1:7">
      <c r="A774" s="72" t="s">
        <v>451</v>
      </c>
      <c r="B774" s="82"/>
      <c r="C774" s="92"/>
      <c r="D774" s="72"/>
      <c r="E774" s="72" t="s">
        <v>451</v>
      </c>
      <c r="F774" s="82"/>
      <c r="G774" s="92"/>
    </row>
    <row r="775" spans="1:7">
      <c r="A775" s="72" t="s">
        <v>452</v>
      </c>
      <c r="B775" s="82"/>
      <c r="C775" s="92"/>
      <c r="D775" s="72"/>
      <c r="E775" s="72" t="s">
        <v>452</v>
      </c>
      <c r="F775" s="82"/>
      <c r="G775" s="92"/>
    </row>
    <row r="776" spans="1:7">
      <c r="A776" s="72" t="s">
        <v>453</v>
      </c>
      <c r="B776" s="82"/>
      <c r="C776" s="92"/>
      <c r="D776" s="72"/>
      <c r="E776" s="72" t="s">
        <v>453</v>
      </c>
      <c r="F776" s="82"/>
      <c r="G776" s="92"/>
    </row>
    <row r="777" spans="1:7">
      <c r="A777" s="72" t="s">
        <v>454</v>
      </c>
      <c r="B777" s="82"/>
      <c r="C777" s="92"/>
      <c r="D777" s="72"/>
      <c r="E777" s="72" t="s">
        <v>454</v>
      </c>
      <c r="F777" s="82"/>
      <c r="G777" s="92"/>
    </row>
    <row r="778" spans="1:7">
      <c r="A778" s="72" t="s">
        <v>455</v>
      </c>
      <c r="B778" s="82"/>
      <c r="C778" s="92"/>
      <c r="D778" s="72"/>
      <c r="E778" s="72" t="s">
        <v>455</v>
      </c>
      <c r="F778" s="82"/>
      <c r="G778" s="92"/>
    </row>
    <row r="779" spans="1:7">
      <c r="A779" s="72" t="s">
        <v>456</v>
      </c>
      <c r="B779" s="82"/>
      <c r="C779" s="92"/>
      <c r="D779" s="72"/>
      <c r="E779" s="72" t="s">
        <v>456</v>
      </c>
      <c r="F779" s="82"/>
      <c r="G779" s="92">
        <f>'PHIC (1)'!W43</f>
        <v>402.2</v>
      </c>
    </row>
    <row r="780" spans="1:7">
      <c r="A780" s="72" t="s">
        <v>457</v>
      </c>
      <c r="B780" s="82"/>
      <c r="C780" s="92"/>
      <c r="D780" s="72"/>
      <c r="E780" s="72" t="s">
        <v>457</v>
      </c>
      <c r="F780" s="82"/>
      <c r="G780" s="92">
        <f>'payroll(FEB)'!F39</f>
        <v>1447.9199999999998</v>
      </c>
    </row>
    <row r="781" spans="1:7">
      <c r="A781" s="72" t="s">
        <v>104</v>
      </c>
      <c r="B781" s="82"/>
      <c r="C781" s="92"/>
      <c r="D781" s="72"/>
      <c r="E781" s="72" t="s">
        <v>104</v>
      </c>
      <c r="F781" s="82"/>
      <c r="G781" s="92">
        <f>'PAG-IBIG'!H62</f>
        <v>200</v>
      </c>
    </row>
    <row r="782" spans="1:7">
      <c r="A782" s="72" t="s">
        <v>473</v>
      </c>
      <c r="B782" s="82"/>
      <c r="C782" s="92"/>
      <c r="D782" s="72"/>
      <c r="E782" s="72" t="s">
        <v>473</v>
      </c>
      <c r="F782" s="82"/>
      <c r="G782" s="92"/>
    </row>
    <row r="783" spans="1:7">
      <c r="A783" s="72" t="s">
        <v>125</v>
      </c>
      <c r="B783" s="82"/>
      <c r="C783" s="92"/>
      <c r="D783" s="72"/>
      <c r="E783" s="72" t="s">
        <v>125</v>
      </c>
      <c r="F783" s="82"/>
      <c r="G783" s="92"/>
    </row>
    <row r="784" spans="1:7">
      <c r="A784" s="72" t="s">
        <v>124</v>
      </c>
      <c r="B784" s="82"/>
      <c r="C784" s="92"/>
      <c r="D784" s="72"/>
      <c r="E784" s="72" t="s">
        <v>124</v>
      </c>
      <c r="F784" s="82"/>
      <c r="G784" s="92"/>
    </row>
    <row r="785" spans="1:7">
      <c r="A785" s="72" t="s">
        <v>458</v>
      </c>
      <c r="B785" s="82"/>
      <c r="C785" s="92"/>
      <c r="D785" s="72"/>
      <c r="E785" s="72" t="s">
        <v>458</v>
      </c>
      <c r="F785" s="82"/>
      <c r="G785" s="92">
        <f>CNGWMPC!S92</f>
        <v>4587.88</v>
      </c>
    </row>
    <row r="786" spans="1:7">
      <c r="A786" s="72" t="s">
        <v>459</v>
      </c>
      <c r="B786" s="82"/>
      <c r="C786" s="92"/>
      <c r="D786" s="72"/>
      <c r="E786" s="72" t="s">
        <v>459</v>
      </c>
      <c r="F786" s="82"/>
      <c r="G786" s="92"/>
    </row>
    <row r="787" spans="1:7">
      <c r="A787" s="72" t="s">
        <v>460</v>
      </c>
      <c r="B787" s="82"/>
      <c r="C787" s="92"/>
      <c r="D787" s="72"/>
      <c r="E787" s="72" t="s">
        <v>527</v>
      </c>
      <c r="F787" s="82"/>
      <c r="G787" s="92"/>
    </row>
    <row r="788" spans="1:7">
      <c r="A788" s="72" t="s">
        <v>528</v>
      </c>
      <c r="B788" s="82"/>
      <c r="C788" s="92"/>
      <c r="D788" s="72"/>
      <c r="E788" s="72" t="s">
        <v>529</v>
      </c>
      <c r="F788" s="82"/>
      <c r="G788" s="92"/>
    </row>
    <row r="789" spans="1:7">
      <c r="A789" s="72" t="s">
        <v>30</v>
      </c>
      <c r="B789" s="82"/>
      <c r="C789" s="92"/>
      <c r="D789" s="72"/>
      <c r="E789" s="72" t="s">
        <v>464</v>
      </c>
      <c r="F789" s="82"/>
      <c r="G789" s="92"/>
    </row>
    <row r="790" spans="1:7">
      <c r="A790" s="72" t="s">
        <v>525</v>
      </c>
      <c r="B790" s="82"/>
      <c r="C790" s="92"/>
      <c r="D790" s="72"/>
      <c r="E790" s="72" t="s">
        <v>465</v>
      </c>
      <c r="F790" s="82"/>
      <c r="G790" s="92"/>
    </row>
    <row r="791" spans="1:7">
      <c r="A791" s="72" t="s">
        <v>466</v>
      </c>
      <c r="B791" s="82"/>
      <c r="C791" s="92"/>
      <c r="D791" s="72"/>
      <c r="E791" s="72" t="s">
        <v>467</v>
      </c>
      <c r="F791" s="82"/>
      <c r="G791" s="92"/>
    </row>
    <row r="792" spans="1:7">
      <c r="A792" s="72" t="s">
        <v>465</v>
      </c>
      <c r="B792" s="82"/>
      <c r="C792" s="92"/>
      <c r="D792" s="72"/>
      <c r="E792" s="72" t="s">
        <v>507</v>
      </c>
      <c r="F792" s="82"/>
      <c r="G792" s="92"/>
    </row>
    <row r="793" spans="1:7">
      <c r="A793" s="72"/>
      <c r="B793" s="72"/>
      <c r="C793" s="85"/>
      <c r="D793" s="72"/>
      <c r="E793" s="72"/>
      <c r="F793" s="82"/>
      <c r="G793" s="85"/>
    </row>
    <row r="794" spans="1:7">
      <c r="A794" s="77" t="s">
        <v>470</v>
      </c>
      <c r="B794" s="82"/>
      <c r="C794" s="88">
        <f>SUM(C772:C792)</f>
        <v>0</v>
      </c>
      <c r="D794" s="77"/>
      <c r="E794" s="77" t="s">
        <v>470</v>
      </c>
      <c r="F794" s="82"/>
      <c r="G794" s="88">
        <f>SUM(G772:G792)</f>
        <v>6638</v>
      </c>
    </row>
    <row r="795" spans="1:7">
      <c r="A795" s="77" t="s">
        <v>471</v>
      </c>
      <c r="B795" s="82"/>
      <c r="C795" s="80">
        <f>C770+C771-C794</f>
        <v>0</v>
      </c>
      <c r="D795" s="77"/>
      <c r="E795" s="77" t="s">
        <v>471</v>
      </c>
      <c r="F795" s="82"/>
      <c r="G795" s="80">
        <f>G770+G771-G794</f>
        <v>11450</v>
      </c>
    </row>
    <row r="796" spans="1:7">
      <c r="A796" s="77"/>
      <c r="B796" s="77"/>
      <c r="C796" s="77"/>
      <c r="D796" s="77"/>
      <c r="E796" s="77"/>
      <c r="F796" s="77"/>
      <c r="G796" s="77"/>
    </row>
    <row r="797" spans="1:7">
      <c r="A797" s="973"/>
      <c r="B797" s="973"/>
      <c r="C797" s="973"/>
      <c r="D797" s="77"/>
      <c r="E797" s="973"/>
      <c r="F797" s="973"/>
      <c r="G797" s="973"/>
    </row>
    <row r="798" spans="1:7">
      <c r="A798" s="972" t="str">
        <f>A759</f>
        <v>MELINDA R. BARCELONA</v>
      </c>
      <c r="B798" s="972"/>
      <c r="C798" s="972"/>
      <c r="D798" s="72"/>
      <c r="E798" s="972" t="str">
        <f>A759</f>
        <v>MELINDA R. BARCELONA</v>
      </c>
      <c r="F798" s="972"/>
      <c r="G798" s="972"/>
    </row>
    <row r="799" spans="1:7">
      <c r="A799" s="77"/>
      <c r="B799" s="72" t="str">
        <f>A77</f>
        <v>AO V/PAYROLL CLERK</v>
      </c>
      <c r="C799" s="80"/>
      <c r="E799" s="980" t="str">
        <f>A36</f>
        <v>AO V/PAYROLL CLERK</v>
      </c>
      <c r="F799" s="980"/>
      <c r="G799" s="980"/>
    </row>
    <row r="800" spans="1:7">
      <c r="A800" s="77"/>
      <c r="B800" s="72"/>
      <c r="C800" s="80"/>
      <c r="E800" s="960"/>
      <c r="F800" s="960"/>
      <c r="G800" s="960"/>
    </row>
    <row r="801" spans="1:7">
      <c r="A801" s="77"/>
      <c r="B801" s="72"/>
      <c r="C801" s="88"/>
    </row>
    <row r="802" spans="1:7">
      <c r="A802" s="972" t="s">
        <v>0</v>
      </c>
      <c r="B802" s="972"/>
      <c r="C802" s="972"/>
      <c r="E802" s="972" t="s">
        <v>0</v>
      </c>
      <c r="F802" s="972"/>
      <c r="G802" s="972"/>
    </row>
    <row r="803" spans="1:7">
      <c r="A803" s="972" t="s">
        <v>1</v>
      </c>
      <c r="B803" s="972"/>
      <c r="C803" s="972"/>
      <c r="E803" s="972" t="s">
        <v>1</v>
      </c>
      <c r="F803" s="972"/>
      <c r="G803" s="972"/>
    </row>
    <row r="804" spans="1:7">
      <c r="A804" s="972" t="s">
        <v>441</v>
      </c>
      <c r="B804" s="972"/>
      <c r="C804" s="972"/>
      <c r="E804" s="972" t="s">
        <v>441</v>
      </c>
      <c r="F804" s="972"/>
      <c r="G804" s="972"/>
    </row>
    <row r="805" spans="1:7">
      <c r="A805" s="972" t="s">
        <v>342</v>
      </c>
      <c r="B805" s="972"/>
      <c r="C805" s="972"/>
      <c r="E805" s="972" t="s">
        <v>342</v>
      </c>
      <c r="F805" s="972"/>
      <c r="G805" s="972"/>
    </row>
    <row r="806" spans="1:7">
      <c r="A806" s="972" t="s">
        <v>442</v>
      </c>
      <c r="B806" s="972"/>
      <c r="C806" s="972"/>
      <c r="E806" s="972" t="s">
        <v>442</v>
      </c>
      <c r="F806" s="972"/>
      <c r="G806" s="972"/>
    </row>
    <row r="807" spans="1:7">
      <c r="A807" s="72" t="s">
        <v>443</v>
      </c>
      <c r="B807" s="974" t="str">
        <f>'payroll(FEB)'!C40</f>
        <v>GERRY Y. ECHANO</v>
      </c>
      <c r="C807" s="976"/>
      <c r="E807" s="72" t="s">
        <v>443</v>
      </c>
      <c r="F807" s="974" t="str">
        <f>'payroll(FEB)'!C41</f>
        <v>RIZALDO T. BAGASBAS</v>
      </c>
      <c r="G807" s="974"/>
    </row>
    <row r="808" spans="1:7">
      <c r="A808" s="72" t="s">
        <v>444</v>
      </c>
      <c r="B808" s="974" t="str">
        <f>'payroll(FEB)'!D40</f>
        <v>AA III</v>
      </c>
      <c r="C808" s="976"/>
      <c r="E808" s="72" t="s">
        <v>444</v>
      </c>
      <c r="F808" s="974" t="str">
        <f>'payroll(FEB)'!D41</f>
        <v>FW II</v>
      </c>
      <c r="G808" s="974"/>
    </row>
    <row r="809" spans="1:7">
      <c r="A809" s="72" t="s">
        <v>446</v>
      </c>
      <c r="B809" s="975" t="str">
        <f>B769</f>
        <v>2/1-28/2026</v>
      </c>
      <c r="C809" s="976"/>
      <c r="E809" s="72" t="s">
        <v>446</v>
      </c>
      <c r="F809" s="975" t="str">
        <f>B809</f>
        <v>2/1-28/2026</v>
      </c>
      <c r="G809" s="975"/>
    </row>
    <row r="810" spans="1:7">
      <c r="A810" s="77" t="s">
        <v>530</v>
      </c>
      <c r="B810" s="78"/>
      <c r="C810" s="88">
        <f>'payroll(FEB)'!E40</f>
        <v>16088</v>
      </c>
      <c r="E810" s="77" t="s">
        <v>530</v>
      </c>
      <c r="F810" s="78"/>
      <c r="G810" s="88">
        <f>'payroll(FEB)'!E41</f>
        <v>17084</v>
      </c>
    </row>
    <row r="811" spans="1:7">
      <c r="A811" s="77" t="s">
        <v>30</v>
      </c>
      <c r="B811" s="78"/>
      <c r="C811" s="88">
        <f>'payroll(FEB)'!AC40</f>
        <v>2000</v>
      </c>
      <c r="D811" s="94"/>
      <c r="E811" s="77" t="s">
        <v>30</v>
      </c>
      <c r="F811" s="78"/>
      <c r="G811" s="88">
        <f>'payroll(FEB)'!AC41</f>
        <v>2000</v>
      </c>
    </row>
    <row r="812" spans="1:7">
      <c r="A812" s="72" t="s">
        <v>449</v>
      </c>
      <c r="B812" s="72"/>
      <c r="C812" s="92"/>
      <c r="E812" s="72" t="s">
        <v>449</v>
      </c>
      <c r="F812" s="72"/>
      <c r="G812" s="92"/>
    </row>
    <row r="813" spans="1:7">
      <c r="A813" s="72" t="s">
        <v>134</v>
      </c>
      <c r="B813" s="82"/>
      <c r="C813" s="92"/>
      <c r="E813" s="72" t="s">
        <v>134</v>
      </c>
      <c r="F813" s="82"/>
      <c r="G813" s="92"/>
    </row>
    <row r="814" spans="1:7">
      <c r="A814" s="72" t="s">
        <v>451</v>
      </c>
      <c r="B814" s="82"/>
      <c r="C814" s="92"/>
      <c r="E814" s="72" t="s">
        <v>451</v>
      </c>
      <c r="F814" s="82"/>
      <c r="G814" s="92"/>
    </row>
    <row r="815" spans="1:7">
      <c r="A815" s="72" t="s">
        <v>452</v>
      </c>
      <c r="B815" s="82"/>
      <c r="C815" s="92"/>
      <c r="E815" s="72" t="s">
        <v>452</v>
      </c>
      <c r="F815" s="82"/>
      <c r="G815" s="92"/>
    </row>
    <row r="816" spans="1:7">
      <c r="A816" s="72" t="s">
        <v>453</v>
      </c>
      <c r="B816" s="82"/>
      <c r="C816" s="92"/>
      <c r="E816" s="72" t="s">
        <v>453</v>
      </c>
      <c r="F816" s="82"/>
      <c r="G816" s="92"/>
    </row>
    <row r="817" spans="1:7">
      <c r="A817" s="72" t="s">
        <v>454</v>
      </c>
      <c r="B817" s="82"/>
      <c r="C817" s="92"/>
      <c r="E817" s="72" t="s">
        <v>454</v>
      </c>
      <c r="F817" s="82"/>
      <c r="G817" s="92"/>
    </row>
    <row r="818" spans="1:7">
      <c r="A818" s="72" t="s">
        <v>455</v>
      </c>
      <c r="B818" s="82"/>
      <c r="C818" s="92"/>
      <c r="E818" s="72" t="s">
        <v>455</v>
      </c>
      <c r="F818" s="82"/>
      <c r="G818" s="92"/>
    </row>
    <row r="819" spans="1:7">
      <c r="A819" s="72" t="s">
        <v>456</v>
      </c>
      <c r="B819" s="82"/>
      <c r="C819" s="92">
        <f>'PHIC (1)'!W44</f>
        <v>402.2</v>
      </c>
      <c r="E819" s="72" t="s">
        <v>456</v>
      </c>
      <c r="F819" s="82"/>
      <c r="G819" s="92">
        <f>'PHIC (1)'!W45</f>
        <v>427.1</v>
      </c>
    </row>
    <row r="820" spans="1:7">
      <c r="A820" s="72" t="s">
        <v>457</v>
      </c>
      <c r="B820" s="82"/>
      <c r="C820" s="92">
        <f>'payroll(FEB)'!F40</f>
        <v>1447.9199999999998</v>
      </c>
      <c r="E820" s="72" t="s">
        <v>457</v>
      </c>
      <c r="F820" s="82"/>
      <c r="G820" s="92">
        <f>'payroll(FEB)'!F41</f>
        <v>1537.56</v>
      </c>
    </row>
    <row r="821" spans="1:7">
      <c r="A821" s="72" t="s">
        <v>104</v>
      </c>
      <c r="B821" s="82"/>
      <c r="C821" s="92">
        <f>'PAG-IBIG'!H63</f>
        <v>200</v>
      </c>
      <c r="E821" s="72" t="s">
        <v>104</v>
      </c>
      <c r="F821" s="82"/>
      <c r="G821" s="92">
        <f>'PAG-IBIG'!H64</f>
        <v>200</v>
      </c>
    </row>
    <row r="822" spans="1:7">
      <c r="A822" s="72" t="s">
        <v>473</v>
      </c>
      <c r="B822" s="82"/>
      <c r="C822" s="92"/>
      <c r="E822" s="72" t="s">
        <v>473</v>
      </c>
      <c r="F822" s="82"/>
      <c r="G822" s="92"/>
    </row>
    <row r="823" spans="1:7">
      <c r="A823" s="72" t="s">
        <v>125</v>
      </c>
      <c r="B823" s="82"/>
      <c r="C823" s="92"/>
      <c r="E823" s="72" t="s">
        <v>125</v>
      </c>
      <c r="F823" s="82"/>
      <c r="G823" s="92"/>
    </row>
    <row r="824" spans="1:7">
      <c r="A824" s="72" t="s">
        <v>124</v>
      </c>
      <c r="B824" s="82"/>
      <c r="C824" s="92"/>
      <c r="E824" s="72" t="s">
        <v>124</v>
      </c>
      <c r="F824" s="82"/>
      <c r="G824" s="92"/>
    </row>
    <row r="825" spans="1:7">
      <c r="A825" s="72" t="s">
        <v>458</v>
      </c>
      <c r="B825" s="82"/>
      <c r="C825" s="92">
        <f>CNGWMPC!S93</f>
        <v>747.88</v>
      </c>
      <c r="E825" s="72" t="s">
        <v>458</v>
      </c>
      <c r="F825" s="82"/>
      <c r="G825" s="92">
        <f>CNGWMPC!S94</f>
        <v>4709.57</v>
      </c>
    </row>
    <row r="826" spans="1:7">
      <c r="A826" s="72" t="s">
        <v>459</v>
      </c>
      <c r="B826" s="82"/>
      <c r="C826" s="92"/>
      <c r="E826" s="72" t="s">
        <v>459</v>
      </c>
      <c r="F826" s="82"/>
      <c r="G826" s="92"/>
    </row>
    <row r="827" spans="1:7">
      <c r="A827" s="72" t="s">
        <v>460</v>
      </c>
      <c r="B827" s="82"/>
      <c r="C827" s="92"/>
      <c r="E827" s="72" t="s">
        <v>460</v>
      </c>
      <c r="F827" s="82"/>
      <c r="G827" s="92"/>
    </row>
    <row r="828" spans="1:7">
      <c r="A828" s="72" t="s">
        <v>531</v>
      </c>
      <c r="B828" s="82"/>
      <c r="C828" s="92"/>
      <c r="E828" s="72" t="s">
        <v>462</v>
      </c>
      <c r="F828" s="82"/>
      <c r="G828" s="92"/>
    </row>
    <row r="829" spans="1:7">
      <c r="A829" s="72" t="s">
        <v>464</v>
      </c>
      <c r="B829" s="82"/>
      <c r="C829" s="92"/>
      <c r="E829" s="72" t="s">
        <v>464</v>
      </c>
      <c r="F829" s="82"/>
      <c r="G829" s="92"/>
    </row>
    <row r="830" spans="1:7">
      <c r="A830" s="72" t="s">
        <v>465</v>
      </c>
      <c r="B830" s="82"/>
      <c r="C830" s="92"/>
      <c r="E830" s="72" t="s">
        <v>465</v>
      </c>
      <c r="F830" s="82"/>
      <c r="G830" s="92"/>
    </row>
    <row r="831" spans="1:7">
      <c r="A831" s="72" t="s">
        <v>463</v>
      </c>
      <c r="B831" s="82"/>
      <c r="C831" s="92"/>
      <c r="E831" s="72" t="s">
        <v>519</v>
      </c>
      <c r="F831" s="82"/>
      <c r="G831" s="92">
        <f>' gsis'!R71</f>
        <v>2219.77</v>
      </c>
    </row>
    <row r="832" spans="1:7">
      <c r="A832" s="72" t="s">
        <v>497</v>
      </c>
      <c r="B832" s="82"/>
      <c r="C832" s="92"/>
      <c r="E832" s="72" t="s">
        <v>497</v>
      </c>
      <c r="F832" s="82"/>
      <c r="G832" s="92"/>
    </row>
    <row r="833" spans="1:7">
      <c r="A833" s="72"/>
      <c r="B833" s="82"/>
      <c r="C833" s="92"/>
      <c r="E833" s="72"/>
      <c r="F833" s="82"/>
      <c r="G833" s="92"/>
    </row>
    <row r="834" spans="1:7">
      <c r="A834" s="77" t="s">
        <v>470</v>
      </c>
      <c r="B834" s="82"/>
      <c r="C834" s="88">
        <f>SUM(C813:C832)</f>
        <v>2798</v>
      </c>
      <c r="E834" s="77" t="s">
        <v>470</v>
      </c>
      <c r="F834" s="82"/>
      <c r="G834" s="88">
        <f>SUM(G813:G832)</f>
        <v>9094</v>
      </c>
    </row>
    <row r="835" spans="1:7">
      <c r="A835" s="77" t="s">
        <v>471</v>
      </c>
      <c r="B835" s="82"/>
      <c r="C835" s="80">
        <f>C810+C811-C834</f>
        <v>15290</v>
      </c>
      <c r="E835" s="77" t="s">
        <v>471</v>
      </c>
      <c r="F835" s="82"/>
      <c r="G835" s="80">
        <f>G810+G811-G834</f>
        <v>9990</v>
      </c>
    </row>
    <row r="836" spans="1:7">
      <c r="A836" s="72"/>
      <c r="B836" s="72"/>
      <c r="C836" s="72"/>
      <c r="E836" s="72"/>
      <c r="F836" s="72"/>
      <c r="G836" s="72"/>
    </row>
    <row r="837" spans="1:7">
      <c r="A837" s="72"/>
      <c r="B837" s="72"/>
      <c r="C837" s="72"/>
      <c r="E837" s="72"/>
      <c r="F837" s="72"/>
      <c r="G837" s="72"/>
    </row>
    <row r="838" spans="1:7">
      <c r="A838" s="972" t="str">
        <f>A798</f>
        <v>MELINDA R. BARCELONA</v>
      </c>
      <c r="B838" s="972"/>
      <c r="C838" s="972"/>
      <c r="E838" s="973" t="str">
        <f>A838</f>
        <v>MELINDA R. BARCELONA</v>
      </c>
      <c r="F838" s="973"/>
      <c r="G838" s="973"/>
    </row>
    <row r="839" spans="1:7">
      <c r="A839" s="972" t="str">
        <f>E799</f>
        <v>AO V/PAYROLL CLERK</v>
      </c>
      <c r="B839" s="972"/>
      <c r="C839" s="972"/>
      <c r="D839" s="80"/>
      <c r="E839" s="972" t="str">
        <f>A839</f>
        <v>AO V/PAYROLL CLERK</v>
      </c>
      <c r="F839" s="972"/>
      <c r="G839" s="972"/>
    </row>
    <row r="840" spans="1:7">
      <c r="A840" s="71"/>
      <c r="B840" s="71"/>
      <c r="C840" s="71"/>
      <c r="D840" s="80"/>
      <c r="E840" s="71"/>
      <c r="F840" s="71"/>
      <c r="G840" s="71"/>
    </row>
    <row r="841" spans="1:7">
      <c r="A841" s="972" t="s">
        <v>0</v>
      </c>
      <c r="B841" s="972"/>
      <c r="C841" s="972"/>
      <c r="E841" s="972" t="s">
        <v>502</v>
      </c>
      <c r="F841" s="972"/>
      <c r="G841" s="972"/>
    </row>
    <row r="842" spans="1:7">
      <c r="A842" s="972" t="s">
        <v>1</v>
      </c>
      <c r="B842" s="972"/>
      <c r="C842" s="972"/>
      <c r="D842" s="72"/>
      <c r="E842" s="972" t="s">
        <v>0</v>
      </c>
      <c r="F842" s="972"/>
      <c r="G842" s="972"/>
    </row>
    <row r="843" spans="1:7">
      <c r="A843" s="972" t="s">
        <v>441</v>
      </c>
      <c r="B843" s="972"/>
      <c r="C843" s="972"/>
      <c r="D843" s="72"/>
      <c r="E843" s="972" t="s">
        <v>1</v>
      </c>
      <c r="F843" s="972"/>
      <c r="G843" s="972"/>
    </row>
    <row r="844" spans="1:7">
      <c r="A844" s="972" t="s">
        <v>342</v>
      </c>
      <c r="B844" s="972"/>
      <c r="C844" s="972"/>
      <c r="D844" s="104"/>
      <c r="E844" s="972" t="s">
        <v>441</v>
      </c>
      <c r="F844" s="972"/>
      <c r="G844" s="972"/>
    </row>
    <row r="845" spans="1:7">
      <c r="A845" s="972" t="s">
        <v>442</v>
      </c>
      <c r="B845" s="972"/>
      <c r="C845" s="972"/>
      <c r="E845" s="972" t="s">
        <v>342</v>
      </c>
      <c r="F845" s="972"/>
      <c r="G845" s="972"/>
    </row>
    <row r="846" spans="1:7">
      <c r="A846" s="72" t="s">
        <v>443</v>
      </c>
      <c r="B846" s="974" t="str">
        <f>'payroll(FEB)'!C42</f>
        <v>HELEN R. QUIJANO</v>
      </c>
      <c r="C846" s="974"/>
      <c r="E846" s="972" t="s">
        <v>442</v>
      </c>
      <c r="F846" s="972"/>
      <c r="G846" s="972"/>
    </row>
    <row r="847" spans="1:7">
      <c r="A847" s="72" t="s">
        <v>444</v>
      </c>
      <c r="B847" s="974" t="str">
        <f>'payroll(FEB)'!D42</f>
        <v>AAAIII</v>
      </c>
      <c r="C847" s="974"/>
      <c r="E847" s="72" t="s">
        <v>443</v>
      </c>
      <c r="F847" s="974" t="str">
        <f>'payroll(FEB)'!C43</f>
        <v>MARY DIANNE R. EMATA</v>
      </c>
      <c r="G847" s="974"/>
    </row>
    <row r="848" spans="1:7">
      <c r="A848" s="72" t="s">
        <v>446</v>
      </c>
      <c r="B848" s="975" t="str">
        <f>B809</f>
        <v>2/1-28/2026</v>
      </c>
      <c r="C848" s="975"/>
      <c r="E848" s="72" t="s">
        <v>444</v>
      </c>
      <c r="F848" s="974" t="str">
        <f>'payroll(FEB)'!D43</f>
        <v>AG II</v>
      </c>
      <c r="G848" s="974"/>
    </row>
    <row r="849" spans="1:7">
      <c r="A849" s="77" t="s">
        <v>530</v>
      </c>
      <c r="B849" s="78"/>
      <c r="C849" s="88">
        <f>'payroll(FEB)'!E42</f>
        <v>15852</v>
      </c>
      <c r="E849" s="72" t="s">
        <v>446</v>
      </c>
      <c r="F849" s="975" t="str">
        <f>B848</f>
        <v>2/1-28/2026</v>
      </c>
      <c r="G849" s="975"/>
    </row>
    <row r="850" spans="1:7">
      <c r="A850" s="77" t="s">
        <v>30</v>
      </c>
      <c r="B850" s="78"/>
      <c r="C850" s="88">
        <f>'payroll(FEB)'!AC42</f>
        <v>2000</v>
      </c>
      <c r="E850" s="77" t="s">
        <v>530</v>
      </c>
      <c r="F850" s="78"/>
      <c r="G850" s="88">
        <f>'payroll(FEB)'!E43</f>
        <v>40208</v>
      </c>
    </row>
    <row r="851" spans="1:7">
      <c r="A851" s="72" t="s">
        <v>449</v>
      </c>
      <c r="B851" s="72"/>
      <c r="C851" s="92"/>
      <c r="E851" s="77" t="s">
        <v>30</v>
      </c>
      <c r="F851" s="78"/>
      <c r="G851" s="88">
        <f>'payroll(FEB)'!AC43</f>
        <v>2000</v>
      </c>
    </row>
    <row r="852" spans="1:7">
      <c r="A852" s="72" t="s">
        <v>134</v>
      </c>
      <c r="B852" s="82"/>
      <c r="C852" s="92"/>
      <c r="E852" s="72" t="s">
        <v>449</v>
      </c>
      <c r="F852" s="72"/>
      <c r="G852" s="92"/>
    </row>
    <row r="853" spans="1:7">
      <c r="A853" s="72" t="s">
        <v>451</v>
      </c>
      <c r="B853" s="82"/>
      <c r="C853" s="92"/>
      <c r="E853" s="72" t="s">
        <v>134</v>
      </c>
      <c r="F853" s="82"/>
      <c r="G853" s="92"/>
    </row>
    <row r="854" spans="1:7">
      <c r="A854" s="72" t="s">
        <v>452</v>
      </c>
      <c r="B854" s="82"/>
      <c r="C854" s="92"/>
      <c r="E854" s="72" t="s">
        <v>451</v>
      </c>
      <c r="F854" s="82"/>
      <c r="G854" s="92"/>
    </row>
    <row r="855" spans="1:7">
      <c r="A855" s="72" t="s">
        <v>453</v>
      </c>
      <c r="B855" s="82"/>
      <c r="C855" s="92"/>
      <c r="E855" s="72" t="s">
        <v>452</v>
      </c>
      <c r="F855" s="82"/>
      <c r="G855" s="92"/>
    </row>
    <row r="856" spans="1:7">
      <c r="A856" s="72" t="s">
        <v>454</v>
      </c>
      <c r="B856" s="82"/>
      <c r="C856" s="92"/>
      <c r="E856" s="72" t="s">
        <v>453</v>
      </c>
      <c r="F856" s="82"/>
      <c r="G856" s="92">
        <f>WTAX!H38</f>
        <v>3145.93</v>
      </c>
    </row>
    <row r="857" spans="1:7">
      <c r="A857" s="72" t="s">
        <v>455</v>
      </c>
      <c r="B857" s="82"/>
      <c r="C857" s="92"/>
      <c r="E857" s="72" t="s">
        <v>454</v>
      </c>
      <c r="F857" s="82"/>
      <c r="G857" s="92"/>
    </row>
    <row r="858" spans="1:7">
      <c r="A858" s="72" t="s">
        <v>456</v>
      </c>
      <c r="B858" s="82"/>
      <c r="C858" s="92">
        <f>'PHIC (1)'!W46</f>
        <v>396.3</v>
      </c>
      <c r="E858" s="72" t="s">
        <v>455</v>
      </c>
      <c r="F858" s="82"/>
      <c r="G858" s="92"/>
    </row>
    <row r="859" spans="1:7">
      <c r="A859" s="72" t="s">
        <v>457</v>
      </c>
      <c r="B859" s="82"/>
      <c r="C859" s="92">
        <f>' gsis'!I72</f>
        <v>1426.6799999999998</v>
      </c>
      <c r="E859" s="72" t="s">
        <v>456</v>
      </c>
      <c r="F859" s="82"/>
      <c r="G859" s="92">
        <f>'PHIC (1)'!W47</f>
        <v>1005.2</v>
      </c>
    </row>
    <row r="860" spans="1:7">
      <c r="A860" s="72" t="s">
        <v>104</v>
      </c>
      <c r="B860" s="82"/>
      <c r="C860" s="92">
        <f>'PAG-IBIG'!H65</f>
        <v>200</v>
      </c>
      <c r="E860" s="72" t="s">
        <v>457</v>
      </c>
      <c r="F860" s="82"/>
      <c r="G860" s="92">
        <f>' gsis'!I73</f>
        <v>3618.72</v>
      </c>
    </row>
    <row r="861" spans="1:7">
      <c r="A861" s="72" t="s">
        <v>473</v>
      </c>
      <c r="B861" s="82"/>
      <c r="C861" s="92"/>
      <c r="E861" s="72" t="s">
        <v>104</v>
      </c>
      <c r="F861" s="82"/>
      <c r="G861" s="92">
        <f>'PAG-IBIG'!H66</f>
        <v>200</v>
      </c>
    </row>
    <row r="862" spans="1:7">
      <c r="A862" s="72" t="s">
        <v>125</v>
      </c>
      <c r="B862" s="82"/>
      <c r="C862" s="92">
        <f>LBP!H22</f>
        <v>4577.29</v>
      </c>
      <c r="E862" s="72" t="s">
        <v>473</v>
      </c>
      <c r="F862" s="82"/>
      <c r="G862" s="92"/>
    </row>
    <row r="863" spans="1:7">
      <c r="A863" s="72" t="s">
        <v>124</v>
      </c>
      <c r="B863" s="82"/>
      <c r="C863" s="92"/>
      <c r="E863" s="72" t="s">
        <v>125</v>
      </c>
      <c r="F863" s="82"/>
      <c r="G863" s="92"/>
    </row>
    <row r="864" spans="1:7">
      <c r="A864" s="72" t="s">
        <v>458</v>
      </c>
      <c r="B864" s="82"/>
      <c r="C864" s="92">
        <f>CNGWMPC!S95</f>
        <v>3171.73</v>
      </c>
      <c r="E864" s="72" t="s">
        <v>124</v>
      </c>
      <c r="F864" s="82"/>
      <c r="G864" s="92"/>
    </row>
    <row r="865" spans="1:7">
      <c r="A865" s="72" t="s">
        <v>459</v>
      </c>
      <c r="B865" s="82"/>
      <c r="C865" s="92"/>
      <c r="E865" s="72" t="s">
        <v>458</v>
      </c>
      <c r="F865" s="82"/>
      <c r="G865" s="92">
        <f>'payroll(FEB)'!AB43</f>
        <v>701.48</v>
      </c>
    </row>
    <row r="866" spans="1:7">
      <c r="A866" s="72" t="s">
        <v>460</v>
      </c>
      <c r="B866" s="82"/>
      <c r="C866" s="92"/>
      <c r="E866" s="72" t="s">
        <v>459</v>
      </c>
      <c r="F866" s="82"/>
      <c r="G866" s="92"/>
    </row>
    <row r="867" spans="1:7">
      <c r="A867" s="72" t="s">
        <v>462</v>
      </c>
      <c r="B867" s="82"/>
      <c r="C867" s="92"/>
      <c r="E867" s="72" t="s">
        <v>460</v>
      </c>
      <c r="F867" s="82"/>
      <c r="G867" s="92"/>
    </row>
    <row r="868" spans="1:7">
      <c r="A868" s="72" t="s">
        <v>679</v>
      </c>
      <c r="B868" s="82"/>
      <c r="C868" s="92">
        <f>PARACLE!H17</f>
        <v>0</v>
      </c>
      <c r="E868" s="72" t="s">
        <v>462</v>
      </c>
      <c r="F868" s="82"/>
      <c r="G868" s="92"/>
    </row>
    <row r="869" spans="1:7">
      <c r="A869" s="72" t="s">
        <v>465</v>
      </c>
      <c r="B869" s="82"/>
      <c r="C869" s="92"/>
      <c r="E869" s="72" t="s">
        <v>464</v>
      </c>
      <c r="F869" s="82"/>
      <c r="G869" s="92"/>
    </row>
    <row r="870" spans="1:7">
      <c r="A870" s="72" t="s">
        <v>519</v>
      </c>
      <c r="B870" s="82"/>
      <c r="C870" s="92"/>
      <c r="E870" s="72" t="s">
        <v>465</v>
      </c>
      <c r="F870" s="82"/>
      <c r="G870" s="92"/>
    </row>
    <row r="871" spans="1:7">
      <c r="A871" s="72" t="s">
        <v>497</v>
      </c>
      <c r="B871" s="82"/>
      <c r="C871" s="92"/>
      <c r="E871" s="72" t="s">
        <v>519</v>
      </c>
      <c r="F871" s="82"/>
      <c r="G871" s="92"/>
    </row>
    <row r="872" spans="1:7">
      <c r="A872" s="72"/>
      <c r="B872" s="82"/>
      <c r="C872" s="92"/>
      <c r="E872" s="72" t="s">
        <v>700</v>
      </c>
      <c r="F872" s="82"/>
      <c r="G872" s="92">
        <f>' gsis'!P73</f>
        <v>1966.67</v>
      </c>
    </row>
    <row r="873" spans="1:7">
      <c r="A873" s="77" t="s">
        <v>470</v>
      </c>
      <c r="B873" s="82"/>
      <c r="C873" s="88">
        <f>SUM(C852:C871)</f>
        <v>9772</v>
      </c>
      <c r="E873" s="72"/>
      <c r="F873" s="82"/>
      <c r="G873" s="92"/>
    </row>
    <row r="874" spans="1:7">
      <c r="A874" s="77" t="s">
        <v>471</v>
      </c>
      <c r="B874" s="82"/>
      <c r="C874" s="80">
        <f>C849+C850-C873</f>
        <v>8080</v>
      </c>
      <c r="E874" s="77" t="s">
        <v>470</v>
      </c>
      <c r="F874" s="82"/>
      <c r="G874" s="88">
        <f>SUM(G853:G872)</f>
        <v>10638</v>
      </c>
    </row>
    <row r="875" spans="1:7">
      <c r="A875" s="72"/>
      <c r="B875" s="72"/>
      <c r="C875" s="72"/>
      <c r="E875" s="77" t="s">
        <v>471</v>
      </c>
      <c r="F875" s="82"/>
      <c r="G875" s="80">
        <f>G850+G851-G874</f>
        <v>31570</v>
      </c>
    </row>
    <row r="876" spans="1:7">
      <c r="A876" s="72"/>
      <c r="B876" s="72"/>
      <c r="C876" s="72"/>
      <c r="E876" s="72"/>
      <c r="F876" s="72"/>
      <c r="G876" s="72"/>
    </row>
    <row r="877" spans="1:7">
      <c r="A877" s="973" t="str">
        <f>E838</f>
        <v>MELINDA R. BARCELONA</v>
      </c>
      <c r="B877" s="973"/>
      <c r="C877" s="973"/>
      <c r="E877" s="72"/>
      <c r="F877" s="72"/>
      <c r="G877" s="72"/>
    </row>
    <row r="878" spans="1:7">
      <c r="A878" s="972" t="str">
        <f>E839</f>
        <v>AO V/PAYROLL CLERK</v>
      </c>
      <c r="B878" s="972"/>
      <c r="C878" s="972"/>
      <c r="E878" s="973" t="str">
        <f>A877</f>
        <v>MELINDA R. BARCELONA</v>
      </c>
      <c r="F878" s="973"/>
      <c r="G878" s="973"/>
    </row>
    <row r="879" spans="1:7">
      <c r="E879" s="972" t="str">
        <f>A878</f>
        <v>AO V/PAYROLL CLERK</v>
      </c>
      <c r="F879" s="972"/>
      <c r="G879" s="972"/>
    </row>
    <row r="880" spans="1:7">
      <c r="E880" s="71"/>
      <c r="F880" s="71"/>
      <c r="G880" s="71"/>
    </row>
    <row r="881" spans="1:7">
      <c r="E881" s="71"/>
      <c r="F881" s="71"/>
      <c r="G881" s="71"/>
    </row>
    <row r="882" spans="1:7">
      <c r="A882" s="972" t="s">
        <v>0</v>
      </c>
      <c r="B882" s="972"/>
      <c r="C882" s="972"/>
    </row>
    <row r="883" spans="1:7">
      <c r="A883" s="972" t="s">
        <v>1</v>
      </c>
      <c r="B883" s="972"/>
      <c r="C883" s="972"/>
      <c r="E883" s="972" t="s">
        <v>0</v>
      </c>
      <c r="F883" s="972"/>
      <c r="G883" s="972"/>
    </row>
    <row r="884" spans="1:7">
      <c r="A884" s="972" t="s">
        <v>441</v>
      </c>
      <c r="B884" s="972"/>
      <c r="C884" s="972"/>
      <c r="E884" s="972" t="s">
        <v>1</v>
      </c>
      <c r="F884" s="972"/>
      <c r="G884" s="972"/>
    </row>
    <row r="885" spans="1:7">
      <c r="A885" s="972" t="s">
        <v>342</v>
      </c>
      <c r="B885" s="972"/>
      <c r="C885" s="972"/>
      <c r="E885" s="972" t="s">
        <v>441</v>
      </c>
      <c r="F885" s="972"/>
      <c r="G885" s="972"/>
    </row>
    <row r="886" spans="1:7">
      <c r="A886" s="972" t="s">
        <v>442</v>
      </c>
      <c r="B886" s="972"/>
      <c r="C886" s="972"/>
      <c r="E886" s="972" t="s">
        <v>342</v>
      </c>
      <c r="F886" s="972"/>
      <c r="G886" s="972"/>
    </row>
    <row r="887" spans="1:7">
      <c r="A887" s="72" t="s">
        <v>443</v>
      </c>
      <c r="B887" s="974" t="str">
        <f>'payroll(FEB)'!C44</f>
        <v>JOHNSON D. BOGATE</v>
      </c>
      <c r="C887" s="974"/>
      <c r="E887" s="972" t="s">
        <v>442</v>
      </c>
      <c r="F887" s="972"/>
      <c r="G887" s="972"/>
    </row>
    <row r="888" spans="1:7">
      <c r="A888" s="72" t="s">
        <v>444</v>
      </c>
      <c r="B888" s="974" t="str">
        <f>'payroll(FEB)'!D44</f>
        <v>AQ I</v>
      </c>
      <c r="C888" s="974"/>
      <c r="E888" s="72" t="s">
        <v>443</v>
      </c>
      <c r="F888" s="974" t="str">
        <f>'payroll(FEB)'!C45</f>
        <v>ALEXIS R. DELA CRUZ</v>
      </c>
      <c r="G888" s="974"/>
    </row>
    <row r="889" spans="1:7">
      <c r="A889" s="72" t="s">
        <v>446</v>
      </c>
      <c r="B889" s="975" t="str">
        <f>F849</f>
        <v>2/1-28/2026</v>
      </c>
      <c r="C889" s="975"/>
      <c r="E889" s="72" t="s">
        <v>444</v>
      </c>
      <c r="F889" s="974" t="str">
        <f>'payroll(FEB)'!D45</f>
        <v>AG II</v>
      </c>
      <c r="G889" s="974"/>
    </row>
    <row r="890" spans="1:7">
      <c r="A890" s="77" t="s">
        <v>530</v>
      </c>
      <c r="B890" s="78"/>
      <c r="C890" s="88">
        <f>'payroll(FEB)'!E44</f>
        <v>30024</v>
      </c>
      <c r="E890" s="72" t="s">
        <v>446</v>
      </c>
      <c r="F890" s="975" t="str">
        <f>B889</f>
        <v>2/1-28/2026</v>
      </c>
      <c r="G890" s="975"/>
    </row>
    <row r="891" spans="1:7">
      <c r="A891" s="77" t="s">
        <v>30</v>
      </c>
      <c r="B891" s="78"/>
      <c r="C891" s="88">
        <f>'payroll(FEB)'!AC44</f>
        <v>2000</v>
      </c>
      <c r="E891" s="77" t="s">
        <v>530</v>
      </c>
      <c r="F891" s="78"/>
      <c r="G891" s="88">
        <f>'payroll(FEB)'!E45</f>
        <v>40208</v>
      </c>
    </row>
    <row r="892" spans="1:7">
      <c r="A892" s="72" t="s">
        <v>449</v>
      </c>
      <c r="B892" s="72"/>
      <c r="C892" s="92"/>
      <c r="E892" s="77" t="s">
        <v>30</v>
      </c>
      <c r="F892" s="78"/>
      <c r="G892" s="88">
        <f>'payroll(FEB)'!AC45</f>
        <v>2000</v>
      </c>
    </row>
    <row r="893" spans="1:7">
      <c r="A893" s="72" t="s">
        <v>134</v>
      </c>
      <c r="B893" s="82"/>
      <c r="C893" s="92"/>
      <c r="E893" s="72" t="s">
        <v>449</v>
      </c>
      <c r="F893" s="72"/>
      <c r="G893" s="92"/>
    </row>
    <row r="894" spans="1:7">
      <c r="A894" s="72" t="s">
        <v>451</v>
      </c>
      <c r="B894" s="82"/>
      <c r="C894" s="92"/>
      <c r="E894" s="72" t="s">
        <v>134</v>
      </c>
      <c r="F894" s="82"/>
      <c r="G894" s="92"/>
    </row>
    <row r="895" spans="1:7">
      <c r="A895" s="72" t="s">
        <v>452</v>
      </c>
      <c r="B895" s="82"/>
      <c r="C895" s="92"/>
      <c r="E895" s="72" t="s">
        <v>451</v>
      </c>
      <c r="F895" s="82"/>
      <c r="G895" s="92"/>
    </row>
    <row r="896" spans="1:7">
      <c r="A896" s="72" t="s">
        <v>453</v>
      </c>
      <c r="B896" s="82"/>
      <c r="C896" s="92">
        <f>WTAX!$H$39</f>
        <v>1631.41</v>
      </c>
      <c r="E896" s="72" t="s">
        <v>452</v>
      </c>
      <c r="F896" s="82"/>
      <c r="G896" s="92"/>
    </row>
    <row r="897" spans="1:7">
      <c r="A897" s="72" t="s">
        <v>454</v>
      </c>
      <c r="B897" s="82"/>
      <c r="C897" s="92"/>
      <c r="E897" s="72" t="s">
        <v>453</v>
      </c>
      <c r="F897" s="82"/>
      <c r="G897" s="92">
        <f>WTAX!H40</f>
        <v>3145.93</v>
      </c>
    </row>
    <row r="898" spans="1:7">
      <c r="A898" s="72" t="s">
        <v>455</v>
      </c>
      <c r="B898" s="82"/>
      <c r="C898" s="92"/>
      <c r="E898" s="72" t="s">
        <v>454</v>
      </c>
      <c r="F898" s="82"/>
      <c r="G898" s="92"/>
    </row>
    <row r="899" spans="1:7">
      <c r="A899" s="72" t="s">
        <v>456</v>
      </c>
      <c r="B899" s="82"/>
      <c r="C899" s="92">
        <f>'PHIC (1)'!W48</f>
        <v>750.6</v>
      </c>
      <c r="E899" s="72" t="s">
        <v>455</v>
      </c>
      <c r="F899" s="82"/>
      <c r="G899" s="92"/>
    </row>
    <row r="900" spans="1:7">
      <c r="A900" s="72" t="s">
        <v>457</v>
      </c>
      <c r="B900" s="82"/>
      <c r="C900" s="92">
        <f>' gsis'!I74</f>
        <v>2702.16</v>
      </c>
      <c r="E900" s="72" t="s">
        <v>456</v>
      </c>
      <c r="F900" s="82"/>
      <c r="G900" s="92">
        <f>'PHIC (1)'!W49</f>
        <v>1005.2</v>
      </c>
    </row>
    <row r="901" spans="1:7">
      <c r="A901" s="72" t="s">
        <v>104</v>
      </c>
      <c r="B901" s="82"/>
      <c r="C901" s="92">
        <f>'PAG-IBIG'!H67</f>
        <v>200</v>
      </c>
      <c r="E901" s="72" t="s">
        <v>457</v>
      </c>
      <c r="F901" s="82"/>
      <c r="G901" s="92">
        <f>' gsis'!I75</f>
        <v>3618.72</v>
      </c>
    </row>
    <row r="902" spans="1:7">
      <c r="A902" s="72" t="s">
        <v>473</v>
      </c>
      <c r="B902" s="82"/>
      <c r="C902" s="92"/>
      <c r="E902" s="72" t="s">
        <v>104</v>
      </c>
      <c r="F902" s="82"/>
      <c r="G902" s="92">
        <f>'PAG-IBIG'!H68</f>
        <v>200</v>
      </c>
    </row>
    <row r="903" spans="1:7">
      <c r="A903" s="72" t="s">
        <v>125</v>
      </c>
      <c r="B903" s="82"/>
      <c r="C903" s="92"/>
      <c r="E903" s="72" t="s">
        <v>473</v>
      </c>
      <c r="F903" s="82"/>
      <c r="G903" s="92"/>
    </row>
    <row r="904" spans="1:7">
      <c r="A904" s="72" t="s">
        <v>124</v>
      </c>
      <c r="B904" s="82"/>
      <c r="C904" s="92"/>
      <c r="E904" s="72" t="s">
        <v>125</v>
      </c>
      <c r="F904" s="82"/>
      <c r="G904" s="92"/>
    </row>
    <row r="905" spans="1:7">
      <c r="A905" s="72" t="s">
        <v>458</v>
      </c>
      <c r="B905" s="82"/>
      <c r="C905" s="92">
        <f>CNGWMPC!S97</f>
        <v>705.27</v>
      </c>
      <c r="E905" s="72" t="s">
        <v>124</v>
      </c>
      <c r="F905" s="82"/>
      <c r="G905" s="92"/>
    </row>
    <row r="906" spans="1:7">
      <c r="A906" s="72" t="s">
        <v>459</v>
      </c>
      <c r="B906" s="82"/>
      <c r="C906" s="92"/>
      <c r="E906" s="72" t="s">
        <v>458</v>
      </c>
      <c r="F906" s="82"/>
      <c r="G906" s="92">
        <f>CNGWMPC!S98</f>
        <v>708.15</v>
      </c>
    </row>
    <row r="907" spans="1:7">
      <c r="A907" s="72" t="s">
        <v>460</v>
      </c>
      <c r="B907" s="82"/>
      <c r="C907" s="92"/>
      <c r="E907" s="72" t="s">
        <v>459</v>
      </c>
      <c r="F907" s="82"/>
      <c r="G907" s="92"/>
    </row>
    <row r="908" spans="1:7">
      <c r="A908" s="72" t="s">
        <v>462</v>
      </c>
      <c r="B908" s="82"/>
      <c r="C908" s="92"/>
      <c r="E908" s="72" t="s">
        <v>460</v>
      </c>
      <c r="F908" s="82"/>
      <c r="G908" s="92"/>
    </row>
    <row r="909" spans="1:7">
      <c r="A909" s="72" t="s">
        <v>464</v>
      </c>
      <c r="B909" s="82"/>
      <c r="C909" s="92"/>
      <c r="E909" s="72" t="s">
        <v>462</v>
      </c>
      <c r="F909" s="82"/>
      <c r="G909" s="92"/>
    </row>
    <row r="910" spans="1:7">
      <c r="A910" s="72" t="s">
        <v>476</v>
      </c>
      <c r="B910" s="82"/>
      <c r="C910" s="92">
        <f>' gsis'!$R$74</f>
        <v>2551.23</v>
      </c>
      <c r="E910" s="72" t="s">
        <v>464</v>
      </c>
      <c r="F910" s="82"/>
      <c r="G910" s="92"/>
    </row>
    <row r="911" spans="1:7">
      <c r="A911" s="72" t="s">
        <v>512</v>
      </c>
      <c r="B911" s="82"/>
      <c r="C911" s="92">
        <f>' gsis'!$S$74</f>
        <v>1783.33</v>
      </c>
      <c r="E911" s="72" t="s">
        <v>465</v>
      </c>
      <c r="F911" s="82"/>
      <c r="G911" s="92"/>
    </row>
    <row r="912" spans="1:7">
      <c r="A912" s="72" t="s">
        <v>497</v>
      </c>
      <c r="B912" s="82"/>
      <c r="C912" s="92"/>
      <c r="E912" s="72" t="s">
        <v>519</v>
      </c>
      <c r="F912" s="82"/>
      <c r="G912" s="92"/>
    </row>
    <row r="913" spans="1:7">
      <c r="A913" s="72"/>
      <c r="B913" s="82"/>
      <c r="C913" s="92"/>
      <c r="E913" s="72" t="s">
        <v>497</v>
      </c>
      <c r="F913" s="82"/>
      <c r="G913" s="92"/>
    </row>
    <row r="914" spans="1:7">
      <c r="A914" s="77" t="s">
        <v>470</v>
      </c>
      <c r="B914" s="82"/>
      <c r="C914" s="88">
        <f>SUM(C893:C912)</f>
        <v>10324</v>
      </c>
      <c r="E914" s="72"/>
      <c r="F914" s="82"/>
      <c r="G914" s="92"/>
    </row>
    <row r="915" spans="1:7">
      <c r="A915" s="77" t="s">
        <v>471</v>
      </c>
      <c r="B915" s="82"/>
      <c r="C915" s="80">
        <f>C890+C891-C914</f>
        <v>21700</v>
      </c>
      <c r="E915" s="77" t="s">
        <v>470</v>
      </c>
      <c r="F915" s="82"/>
      <c r="G915" s="88">
        <f>SUM(G894:G913)</f>
        <v>8678</v>
      </c>
    </row>
    <row r="916" spans="1:7">
      <c r="A916" s="72"/>
      <c r="B916" s="72"/>
      <c r="C916" s="72"/>
      <c r="E916" s="77" t="s">
        <v>471</v>
      </c>
      <c r="F916" s="82"/>
      <c r="G916" s="80">
        <f>G891+G892-G915</f>
        <v>33530</v>
      </c>
    </row>
    <row r="917" spans="1:7">
      <c r="A917" s="72"/>
      <c r="B917" s="72"/>
      <c r="C917" s="72"/>
      <c r="E917" s="72"/>
      <c r="F917" s="72"/>
      <c r="G917" s="72"/>
    </row>
    <row r="918" spans="1:7">
      <c r="A918" s="973" t="str">
        <f>E878</f>
        <v>MELINDA R. BARCELONA</v>
      </c>
      <c r="B918" s="973"/>
      <c r="C918" s="973"/>
      <c r="E918" s="72"/>
      <c r="F918" s="72"/>
      <c r="G918" s="72"/>
    </row>
    <row r="919" spans="1:7">
      <c r="A919" s="972" t="str">
        <f>E879</f>
        <v>AO V/PAYROLL CLERK</v>
      </c>
      <c r="B919" s="972"/>
      <c r="C919" s="972"/>
      <c r="E919" s="973" t="str">
        <f>A918</f>
        <v>MELINDA R. BARCELONA</v>
      </c>
      <c r="F919" s="973"/>
      <c r="G919" s="973"/>
    </row>
    <row r="920" spans="1:7">
      <c r="E920" s="972" t="str">
        <f>A919</f>
        <v>AO V/PAYROLL CLERK</v>
      </c>
      <c r="F920" s="972"/>
      <c r="G920" s="972"/>
    </row>
  </sheetData>
  <mergeCells count="458">
    <mergeCell ref="B847:C847"/>
    <mergeCell ref="B848:C848"/>
    <mergeCell ref="A877:C877"/>
    <mergeCell ref="A878:C878"/>
    <mergeCell ref="A841:C841"/>
    <mergeCell ref="A842:C842"/>
    <mergeCell ref="E842:G842"/>
    <mergeCell ref="A843:C843"/>
    <mergeCell ref="E843:G843"/>
    <mergeCell ref="A844:C844"/>
    <mergeCell ref="E844:G844"/>
    <mergeCell ref="A845:C845"/>
    <mergeCell ref="B846:C846"/>
    <mergeCell ref="E841:G841"/>
    <mergeCell ref="E845:G845"/>
    <mergeCell ref="E846:G846"/>
    <mergeCell ref="F847:G847"/>
    <mergeCell ref="F848:G848"/>
    <mergeCell ref="F849:G849"/>
    <mergeCell ref="E878:G878"/>
    <mergeCell ref="B807:C807"/>
    <mergeCell ref="F807:G807"/>
    <mergeCell ref="B808:C808"/>
    <mergeCell ref="F808:G808"/>
    <mergeCell ref="B809:C809"/>
    <mergeCell ref="F809:G809"/>
    <mergeCell ref="A838:C838"/>
    <mergeCell ref="E838:G838"/>
    <mergeCell ref="A839:C839"/>
    <mergeCell ref="E839:G839"/>
    <mergeCell ref="A802:C802"/>
    <mergeCell ref="E802:G802"/>
    <mergeCell ref="A803:C803"/>
    <mergeCell ref="E803:G803"/>
    <mergeCell ref="A804:C804"/>
    <mergeCell ref="E804:G804"/>
    <mergeCell ref="A805:C805"/>
    <mergeCell ref="E805:G805"/>
    <mergeCell ref="A806:C806"/>
    <mergeCell ref="E806:G806"/>
    <mergeCell ref="B768:C768"/>
    <mergeCell ref="F768:G768"/>
    <mergeCell ref="B769:C769"/>
    <mergeCell ref="F769:G769"/>
    <mergeCell ref="A797:C797"/>
    <mergeCell ref="E797:G797"/>
    <mergeCell ref="A798:C798"/>
    <mergeCell ref="E798:G798"/>
    <mergeCell ref="E799:G799"/>
    <mergeCell ref="A763:C763"/>
    <mergeCell ref="E763:G763"/>
    <mergeCell ref="A764:C764"/>
    <mergeCell ref="E764:G764"/>
    <mergeCell ref="A765:C765"/>
    <mergeCell ref="E765:G765"/>
    <mergeCell ref="A766:C766"/>
    <mergeCell ref="E766:G766"/>
    <mergeCell ref="B767:C767"/>
    <mergeCell ref="F767:G767"/>
    <mergeCell ref="B728:C728"/>
    <mergeCell ref="F728:G728"/>
    <mergeCell ref="B729:C729"/>
    <mergeCell ref="F729:G729"/>
    <mergeCell ref="A759:C759"/>
    <mergeCell ref="E759:G759"/>
    <mergeCell ref="A760:C760"/>
    <mergeCell ref="E760:G760"/>
    <mergeCell ref="A762:C762"/>
    <mergeCell ref="E762:G762"/>
    <mergeCell ref="A723:C723"/>
    <mergeCell ref="E723:G723"/>
    <mergeCell ref="A724:C724"/>
    <mergeCell ref="E724:G724"/>
    <mergeCell ref="A725:C725"/>
    <mergeCell ref="E725:G725"/>
    <mergeCell ref="A726:C726"/>
    <mergeCell ref="E726:G726"/>
    <mergeCell ref="B727:C727"/>
    <mergeCell ref="F727:G727"/>
    <mergeCell ref="B689:C689"/>
    <mergeCell ref="F689:G689"/>
    <mergeCell ref="B690:C690"/>
    <mergeCell ref="F690:G690"/>
    <mergeCell ref="A719:C719"/>
    <mergeCell ref="E719:G719"/>
    <mergeCell ref="A720:C720"/>
    <mergeCell ref="E720:G720"/>
    <mergeCell ref="A722:C722"/>
    <mergeCell ref="E722:G722"/>
    <mergeCell ref="A684:C684"/>
    <mergeCell ref="E684:G684"/>
    <mergeCell ref="A685:C685"/>
    <mergeCell ref="E685:G685"/>
    <mergeCell ref="A686:C686"/>
    <mergeCell ref="E686:G686"/>
    <mergeCell ref="A687:C687"/>
    <mergeCell ref="E687:G687"/>
    <mergeCell ref="B688:C688"/>
    <mergeCell ref="F688:G688"/>
    <mergeCell ref="B648:C648"/>
    <mergeCell ref="F648:G648"/>
    <mergeCell ref="B649:C649"/>
    <mergeCell ref="F649:G649"/>
    <mergeCell ref="A679:C679"/>
    <mergeCell ref="E679:G679"/>
    <mergeCell ref="A680:C680"/>
    <mergeCell ref="E680:G680"/>
    <mergeCell ref="A683:C683"/>
    <mergeCell ref="E683:G683"/>
    <mergeCell ref="A643:C643"/>
    <mergeCell ref="E643:G643"/>
    <mergeCell ref="A644:C644"/>
    <mergeCell ref="E644:G644"/>
    <mergeCell ref="A645:C645"/>
    <mergeCell ref="E645:G645"/>
    <mergeCell ref="A646:C646"/>
    <mergeCell ref="E646:G646"/>
    <mergeCell ref="B647:C647"/>
    <mergeCell ref="F647:G647"/>
    <mergeCell ref="B609:C609"/>
    <mergeCell ref="F609:G609"/>
    <mergeCell ref="B610:C610"/>
    <mergeCell ref="F610:G610"/>
    <mergeCell ref="A639:C639"/>
    <mergeCell ref="E639:G639"/>
    <mergeCell ref="A640:C640"/>
    <mergeCell ref="E640:G640"/>
    <mergeCell ref="A642:C642"/>
    <mergeCell ref="E642:G642"/>
    <mergeCell ref="A604:C604"/>
    <mergeCell ref="E604:G604"/>
    <mergeCell ref="A605:C605"/>
    <mergeCell ref="E605:G605"/>
    <mergeCell ref="A606:C606"/>
    <mergeCell ref="E606:G606"/>
    <mergeCell ref="A607:C607"/>
    <mergeCell ref="E607:G607"/>
    <mergeCell ref="B608:C608"/>
    <mergeCell ref="F608:G608"/>
    <mergeCell ref="B568:C568"/>
    <mergeCell ref="F568:G568"/>
    <mergeCell ref="B569:C569"/>
    <mergeCell ref="F569:G569"/>
    <mergeCell ref="A599:C599"/>
    <mergeCell ref="E599:G599"/>
    <mergeCell ref="A600:C600"/>
    <mergeCell ref="E600:G600"/>
    <mergeCell ref="A603:C603"/>
    <mergeCell ref="E603:G603"/>
    <mergeCell ref="A563:C563"/>
    <mergeCell ref="E563:G563"/>
    <mergeCell ref="A564:C564"/>
    <mergeCell ref="E564:G564"/>
    <mergeCell ref="A565:C565"/>
    <mergeCell ref="E565:G565"/>
    <mergeCell ref="A566:C566"/>
    <mergeCell ref="E566:G566"/>
    <mergeCell ref="B567:C567"/>
    <mergeCell ref="F567:G567"/>
    <mergeCell ref="B528:C528"/>
    <mergeCell ref="F528:G528"/>
    <mergeCell ref="B529:C529"/>
    <mergeCell ref="F529:G529"/>
    <mergeCell ref="A559:C559"/>
    <mergeCell ref="E559:G559"/>
    <mergeCell ref="A560:C560"/>
    <mergeCell ref="E560:G560"/>
    <mergeCell ref="A562:C562"/>
    <mergeCell ref="E562:G562"/>
    <mergeCell ref="A523:C523"/>
    <mergeCell ref="E523:G523"/>
    <mergeCell ref="A524:C524"/>
    <mergeCell ref="E524:G524"/>
    <mergeCell ref="A525:C525"/>
    <mergeCell ref="E525:G525"/>
    <mergeCell ref="A526:C526"/>
    <mergeCell ref="E526:G526"/>
    <mergeCell ref="B527:C527"/>
    <mergeCell ref="F527:G527"/>
    <mergeCell ref="B488:C488"/>
    <mergeCell ref="F488:G488"/>
    <mergeCell ref="B489:C489"/>
    <mergeCell ref="F489:G489"/>
    <mergeCell ref="A518:C518"/>
    <mergeCell ref="E518:G518"/>
    <mergeCell ref="A519:C519"/>
    <mergeCell ref="E519:G519"/>
    <mergeCell ref="A522:C522"/>
    <mergeCell ref="E522:G522"/>
    <mergeCell ref="A483:C483"/>
    <mergeCell ref="E483:G483"/>
    <mergeCell ref="A484:C484"/>
    <mergeCell ref="E484:G484"/>
    <mergeCell ref="A485:C485"/>
    <mergeCell ref="E485:G485"/>
    <mergeCell ref="A486:C486"/>
    <mergeCell ref="E486:G486"/>
    <mergeCell ref="B487:C487"/>
    <mergeCell ref="F487:G487"/>
    <mergeCell ref="B448:C448"/>
    <mergeCell ref="F448:G448"/>
    <mergeCell ref="B449:C449"/>
    <mergeCell ref="F449:G449"/>
    <mergeCell ref="A478:C478"/>
    <mergeCell ref="E478:G478"/>
    <mergeCell ref="A479:C479"/>
    <mergeCell ref="E479:G479"/>
    <mergeCell ref="A482:C482"/>
    <mergeCell ref="E482:G482"/>
    <mergeCell ref="A443:C443"/>
    <mergeCell ref="E443:G443"/>
    <mergeCell ref="A444:C444"/>
    <mergeCell ref="E444:G444"/>
    <mergeCell ref="A445:C445"/>
    <mergeCell ref="E445:G445"/>
    <mergeCell ref="A446:C446"/>
    <mergeCell ref="E446:G446"/>
    <mergeCell ref="B447:C447"/>
    <mergeCell ref="F447:G447"/>
    <mergeCell ref="B408:C408"/>
    <mergeCell ref="F408:G408"/>
    <mergeCell ref="B409:C409"/>
    <mergeCell ref="F409:G409"/>
    <mergeCell ref="A438:C438"/>
    <mergeCell ref="E438:G438"/>
    <mergeCell ref="A439:C439"/>
    <mergeCell ref="E439:G439"/>
    <mergeCell ref="A442:C442"/>
    <mergeCell ref="E442:G442"/>
    <mergeCell ref="A403:C403"/>
    <mergeCell ref="E403:G403"/>
    <mergeCell ref="A404:C404"/>
    <mergeCell ref="E404:G404"/>
    <mergeCell ref="A405:C405"/>
    <mergeCell ref="E405:G405"/>
    <mergeCell ref="A406:C406"/>
    <mergeCell ref="E406:G406"/>
    <mergeCell ref="B407:C407"/>
    <mergeCell ref="F407:G407"/>
    <mergeCell ref="B368:C368"/>
    <mergeCell ref="F368:G368"/>
    <mergeCell ref="B369:C369"/>
    <mergeCell ref="F369:G369"/>
    <mergeCell ref="A399:C399"/>
    <mergeCell ref="E399:G399"/>
    <mergeCell ref="A400:C400"/>
    <mergeCell ref="E400:G400"/>
    <mergeCell ref="A402:C402"/>
    <mergeCell ref="E402:G402"/>
    <mergeCell ref="A363:C363"/>
    <mergeCell ref="E363:G363"/>
    <mergeCell ref="A364:C364"/>
    <mergeCell ref="E364:G364"/>
    <mergeCell ref="A365:C365"/>
    <mergeCell ref="E365:G365"/>
    <mergeCell ref="A366:C366"/>
    <mergeCell ref="E366:G366"/>
    <mergeCell ref="B367:C367"/>
    <mergeCell ref="F367:G367"/>
    <mergeCell ref="B328:C328"/>
    <mergeCell ref="F328:G328"/>
    <mergeCell ref="B329:C329"/>
    <mergeCell ref="F329:G329"/>
    <mergeCell ref="A358:C358"/>
    <mergeCell ref="E358:G358"/>
    <mergeCell ref="A359:C359"/>
    <mergeCell ref="E359:G359"/>
    <mergeCell ref="A362:C362"/>
    <mergeCell ref="E362:G362"/>
    <mergeCell ref="A323:C323"/>
    <mergeCell ref="E323:G323"/>
    <mergeCell ref="A324:C324"/>
    <mergeCell ref="E324:G324"/>
    <mergeCell ref="A325:C325"/>
    <mergeCell ref="E325:G325"/>
    <mergeCell ref="A326:C326"/>
    <mergeCell ref="E326:G326"/>
    <mergeCell ref="B327:C327"/>
    <mergeCell ref="F327:G327"/>
    <mergeCell ref="B288:C288"/>
    <mergeCell ref="F288:G288"/>
    <mergeCell ref="B289:C289"/>
    <mergeCell ref="F289:G289"/>
    <mergeCell ref="B290:C290"/>
    <mergeCell ref="F290:G290"/>
    <mergeCell ref="F320:I320"/>
    <mergeCell ref="A322:C322"/>
    <mergeCell ref="E322:G322"/>
    <mergeCell ref="A283:C283"/>
    <mergeCell ref="E283:G283"/>
    <mergeCell ref="A284:C284"/>
    <mergeCell ref="E284:G284"/>
    <mergeCell ref="A285:C285"/>
    <mergeCell ref="E285:G285"/>
    <mergeCell ref="A286:C286"/>
    <mergeCell ref="E286:G286"/>
    <mergeCell ref="A287:C287"/>
    <mergeCell ref="E287:G287"/>
    <mergeCell ref="B247:C247"/>
    <mergeCell ref="F247:G247"/>
    <mergeCell ref="B248:C248"/>
    <mergeCell ref="F248:G248"/>
    <mergeCell ref="B249:C249"/>
    <mergeCell ref="F249:G249"/>
    <mergeCell ref="A279:C279"/>
    <mergeCell ref="E279:G279"/>
    <mergeCell ref="A280:C280"/>
    <mergeCell ref="E280:G280"/>
    <mergeCell ref="A242:C242"/>
    <mergeCell ref="E242:G242"/>
    <mergeCell ref="A243:C243"/>
    <mergeCell ref="E243:G243"/>
    <mergeCell ref="A244:C244"/>
    <mergeCell ref="E244:G244"/>
    <mergeCell ref="A245:C245"/>
    <mergeCell ref="E245:G245"/>
    <mergeCell ref="A246:C246"/>
    <mergeCell ref="E246:G246"/>
    <mergeCell ref="B208:C208"/>
    <mergeCell ref="F208:G208"/>
    <mergeCell ref="B209:C209"/>
    <mergeCell ref="F209:G209"/>
    <mergeCell ref="B210:C210"/>
    <mergeCell ref="F210:G210"/>
    <mergeCell ref="A239:C239"/>
    <mergeCell ref="E239:G239"/>
    <mergeCell ref="A240:C240"/>
    <mergeCell ref="E240:G240"/>
    <mergeCell ref="A203:C203"/>
    <mergeCell ref="E203:G203"/>
    <mergeCell ref="A204:C204"/>
    <mergeCell ref="E204:G204"/>
    <mergeCell ref="A205:C205"/>
    <mergeCell ref="E205:G205"/>
    <mergeCell ref="A206:C206"/>
    <mergeCell ref="E206:G206"/>
    <mergeCell ref="A207:C207"/>
    <mergeCell ref="E207:G207"/>
    <mergeCell ref="B167:C167"/>
    <mergeCell ref="F167:G167"/>
    <mergeCell ref="B168:C168"/>
    <mergeCell ref="F168:G168"/>
    <mergeCell ref="B169:C169"/>
    <mergeCell ref="F169:G169"/>
    <mergeCell ref="A200:C200"/>
    <mergeCell ref="E200:G200"/>
    <mergeCell ref="A201:C201"/>
    <mergeCell ref="E201:G201"/>
    <mergeCell ref="A162:C162"/>
    <mergeCell ref="E162:G162"/>
    <mergeCell ref="A163:C163"/>
    <mergeCell ref="E163:G163"/>
    <mergeCell ref="A164:C164"/>
    <mergeCell ref="E164:G164"/>
    <mergeCell ref="A165:C165"/>
    <mergeCell ref="E165:G165"/>
    <mergeCell ref="A166:C166"/>
    <mergeCell ref="E166:G166"/>
    <mergeCell ref="B127:C127"/>
    <mergeCell ref="F127:G127"/>
    <mergeCell ref="B128:C128"/>
    <mergeCell ref="F128:G128"/>
    <mergeCell ref="B129:C129"/>
    <mergeCell ref="F129:G129"/>
    <mergeCell ref="A158:C158"/>
    <mergeCell ref="E158:G158"/>
    <mergeCell ref="A159:C159"/>
    <mergeCell ref="E159:G159"/>
    <mergeCell ref="A122:C122"/>
    <mergeCell ref="E122:G122"/>
    <mergeCell ref="A123:C123"/>
    <mergeCell ref="E123:G123"/>
    <mergeCell ref="A124:C124"/>
    <mergeCell ref="E124:G124"/>
    <mergeCell ref="A125:C125"/>
    <mergeCell ref="E125:G125"/>
    <mergeCell ref="A126:C126"/>
    <mergeCell ref="E126:G126"/>
    <mergeCell ref="B87:C87"/>
    <mergeCell ref="F87:G87"/>
    <mergeCell ref="B88:C88"/>
    <mergeCell ref="F88:G88"/>
    <mergeCell ref="B89:C89"/>
    <mergeCell ref="F89:G89"/>
    <mergeCell ref="A118:C118"/>
    <mergeCell ref="E118:G118"/>
    <mergeCell ref="A119:C119"/>
    <mergeCell ref="E119:G119"/>
    <mergeCell ref="A82:C82"/>
    <mergeCell ref="E82:G82"/>
    <mergeCell ref="A83:C83"/>
    <mergeCell ref="E83:G83"/>
    <mergeCell ref="A84:C84"/>
    <mergeCell ref="E84:G84"/>
    <mergeCell ref="A85:C85"/>
    <mergeCell ref="E85:G85"/>
    <mergeCell ref="A86:C86"/>
    <mergeCell ref="E86:G86"/>
    <mergeCell ref="B44:C44"/>
    <mergeCell ref="F44:G44"/>
    <mergeCell ref="B45:C45"/>
    <mergeCell ref="F45:G45"/>
    <mergeCell ref="F46:G46"/>
    <mergeCell ref="A76:C76"/>
    <mergeCell ref="E76:G76"/>
    <mergeCell ref="A77:C77"/>
    <mergeCell ref="E77:G77"/>
    <mergeCell ref="A39:C39"/>
    <mergeCell ref="E39:G39"/>
    <mergeCell ref="A40:C40"/>
    <mergeCell ref="E40:G40"/>
    <mergeCell ref="A41:C41"/>
    <mergeCell ref="E41:G41"/>
    <mergeCell ref="A42:C42"/>
    <mergeCell ref="E42:G42"/>
    <mergeCell ref="A43:C43"/>
    <mergeCell ref="E43:G43"/>
    <mergeCell ref="B6:C6"/>
    <mergeCell ref="F6:G6"/>
    <mergeCell ref="B7:C7"/>
    <mergeCell ref="F7:G7"/>
    <mergeCell ref="B8:C8"/>
    <mergeCell ref="F8:G8"/>
    <mergeCell ref="A35:C35"/>
    <mergeCell ref="E35:G35"/>
    <mergeCell ref="A36:C36"/>
    <mergeCell ref="E36:G36"/>
    <mergeCell ref="A1:C1"/>
    <mergeCell ref="E1:G1"/>
    <mergeCell ref="A2:C2"/>
    <mergeCell ref="E2:G2"/>
    <mergeCell ref="A3:C3"/>
    <mergeCell ref="E3:G3"/>
    <mergeCell ref="A4:C4"/>
    <mergeCell ref="E4:G4"/>
    <mergeCell ref="A5:C5"/>
    <mergeCell ref="E5:G5"/>
    <mergeCell ref="E879:G879"/>
    <mergeCell ref="A882:C882"/>
    <mergeCell ref="A883:C883"/>
    <mergeCell ref="A884:C884"/>
    <mergeCell ref="A885:C885"/>
    <mergeCell ref="A886:C886"/>
    <mergeCell ref="B887:C887"/>
    <mergeCell ref="B888:C888"/>
    <mergeCell ref="B889:C889"/>
    <mergeCell ref="E920:G920"/>
    <mergeCell ref="A918:C918"/>
    <mergeCell ref="A919:C919"/>
    <mergeCell ref="E883:G883"/>
    <mergeCell ref="E884:G884"/>
    <mergeCell ref="E885:G885"/>
    <mergeCell ref="E886:G886"/>
    <mergeCell ref="E887:G887"/>
    <mergeCell ref="F888:G888"/>
    <mergeCell ref="F889:G889"/>
    <mergeCell ref="F890:G890"/>
    <mergeCell ref="E919:G919"/>
  </mergeCells>
  <pageMargins left="0.2" right="0.28000000000000003" top="0.1" bottom="1.1000000000000001" header="0.2" footer="0.3"/>
  <pageSetup paperSize="5" scale="9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02"/>
  <sheetViews>
    <sheetView zoomScale="85" zoomScaleNormal="85" workbookViewId="0">
      <selection activeCell="W20" sqref="W20"/>
    </sheetView>
  </sheetViews>
  <sheetFormatPr defaultColWidth="9" defaultRowHeight="13.2"/>
  <cols>
    <col min="1" max="1" width="4.109375" customWidth="1"/>
    <col min="2" max="2" width="15.109375" customWidth="1"/>
    <col min="3" max="3" width="21.109375" customWidth="1"/>
    <col min="4" max="4" width="20.6640625" customWidth="1"/>
    <col min="5" max="5" width="4.77734375" customWidth="1"/>
    <col min="6" max="6" width="16" customWidth="1"/>
    <col min="7" max="7" width="0.44140625" hidden="1" customWidth="1"/>
    <col min="8" max="8" width="3.44140625" customWidth="1"/>
    <col min="9" max="9" width="3.77734375" customWidth="1"/>
    <col min="10" max="10" width="1.6640625" customWidth="1"/>
    <col min="11" max="13" width="3.6640625" customWidth="1"/>
    <col min="14" max="15" width="3.44140625" customWidth="1"/>
    <col min="16" max="16" width="3.33203125" customWidth="1"/>
    <col min="17" max="17" width="3.77734375" customWidth="1"/>
    <col min="18" max="18" width="4" customWidth="1"/>
    <col min="19" max="19" width="3.77734375" customWidth="1"/>
    <col min="20" max="20" width="4.33203125" customWidth="1"/>
    <col min="21" max="21" width="4.109375" hidden="1" customWidth="1"/>
    <col min="22" max="22" width="0.109375" customWidth="1"/>
    <col min="23" max="23" width="14.44140625" customWidth="1"/>
    <col min="24" max="24" width="14.109375" customWidth="1"/>
  </cols>
  <sheetData>
    <row r="1" spans="1:27" ht="13.8">
      <c r="A1" s="6"/>
      <c r="B1" s="6"/>
      <c r="C1" s="6"/>
      <c r="D1" s="6"/>
      <c r="E1" s="6"/>
      <c r="F1" s="6"/>
      <c r="G1" s="6"/>
      <c r="H1" s="6"/>
      <c r="I1" s="6"/>
      <c r="J1" s="6"/>
      <c r="K1" s="6"/>
      <c r="L1" s="6"/>
      <c r="M1" s="6"/>
      <c r="N1" s="6"/>
      <c r="O1" s="6"/>
      <c r="P1" s="6"/>
      <c r="Q1" s="6"/>
      <c r="R1" s="6"/>
      <c r="S1" s="6"/>
      <c r="T1" s="6"/>
      <c r="U1" s="6"/>
      <c r="V1" s="6"/>
      <c r="W1" s="6"/>
      <c r="X1" s="6"/>
    </row>
    <row r="2" spans="1:27" ht="13.8">
      <c r="A2" s="6"/>
      <c r="B2" s="6"/>
      <c r="C2" s="6"/>
      <c r="D2" s="6"/>
      <c r="E2" s="6"/>
      <c r="F2" s="6"/>
      <c r="G2" s="6"/>
      <c r="H2" s="6"/>
      <c r="I2" s="6"/>
      <c r="J2" s="6"/>
      <c r="K2" s="6"/>
      <c r="L2" s="6"/>
      <c r="M2" s="6"/>
      <c r="N2" s="6"/>
      <c r="O2" s="6"/>
      <c r="P2" s="6"/>
      <c r="Q2" s="6"/>
      <c r="R2" s="6"/>
      <c r="S2" s="6"/>
      <c r="T2" s="6"/>
      <c r="U2" s="6"/>
      <c r="V2" s="6"/>
      <c r="W2" s="6"/>
      <c r="X2" s="6"/>
    </row>
    <row r="3" spans="1:27" ht="13.8">
      <c r="A3" s="6"/>
      <c r="B3" s="6"/>
      <c r="C3" s="6"/>
      <c r="D3" s="6"/>
      <c r="E3" s="6"/>
      <c r="F3" s="6"/>
      <c r="G3" s="6"/>
      <c r="H3" s="6"/>
      <c r="I3" s="6"/>
      <c r="J3" s="6"/>
      <c r="K3" s="6"/>
      <c r="L3" s="6"/>
      <c r="M3" s="6"/>
      <c r="N3" s="6"/>
      <c r="O3" s="6"/>
      <c r="P3" s="6"/>
      <c r="Q3" s="6"/>
      <c r="R3" s="6"/>
      <c r="S3" s="6"/>
      <c r="T3" s="6"/>
      <c r="U3" s="6"/>
      <c r="V3" s="6"/>
      <c r="W3" s="6"/>
      <c r="X3" s="6"/>
    </row>
    <row r="4" spans="1:27" ht="15.6">
      <c r="A4" s="6"/>
      <c r="B4" s="6"/>
      <c r="C4" s="6"/>
      <c r="D4" s="6"/>
      <c r="E4" s="6"/>
      <c r="F4" s="603"/>
      <c r="G4" s="603"/>
      <c r="H4" s="603"/>
      <c r="I4" s="603"/>
      <c r="J4" s="603"/>
      <c r="K4" s="603"/>
      <c r="L4" s="603"/>
      <c r="M4" s="603"/>
      <c r="N4" s="603"/>
      <c r="O4" s="603"/>
      <c r="P4" s="603"/>
      <c r="Q4" s="603"/>
      <c r="R4" s="603"/>
      <c r="S4" s="603"/>
      <c r="T4" s="603"/>
      <c r="U4" s="603"/>
      <c r="V4" s="603"/>
      <c r="W4" s="6"/>
      <c r="X4" s="6"/>
    </row>
    <row r="5" spans="1:27" ht="13.5" customHeight="1">
      <c r="A5" s="6"/>
      <c r="B5" s="6"/>
      <c r="C5" s="6"/>
      <c r="D5" s="6"/>
      <c r="E5" s="6"/>
      <c r="F5" s="603"/>
      <c r="G5" s="603"/>
      <c r="H5" s="603"/>
      <c r="I5" s="603"/>
      <c r="J5" s="603"/>
      <c r="K5" s="603"/>
      <c r="L5" s="603"/>
      <c r="M5" s="603"/>
      <c r="N5" s="603"/>
      <c r="O5" s="603"/>
      <c r="P5" s="603"/>
      <c r="Q5" s="603"/>
      <c r="R5" s="603"/>
      <c r="S5" s="603"/>
      <c r="T5" s="603"/>
      <c r="U5" s="603"/>
      <c r="V5" s="603"/>
      <c r="W5" s="6"/>
      <c r="X5" s="6"/>
    </row>
    <row r="6" spans="1:27" ht="13.5" customHeight="1">
      <c r="A6" s="6"/>
      <c r="B6" s="6"/>
      <c r="C6" s="6"/>
      <c r="D6" s="606"/>
      <c r="E6" s="606"/>
      <c r="F6" s="605" t="s">
        <v>342</v>
      </c>
      <c r="G6" s="605"/>
      <c r="H6" s="605"/>
      <c r="I6" s="605"/>
      <c r="J6" s="605"/>
      <c r="K6" s="605"/>
      <c r="L6" s="605"/>
      <c r="M6" s="605"/>
      <c r="N6" s="603"/>
      <c r="O6" s="603"/>
      <c r="P6" s="603"/>
      <c r="Q6" s="603"/>
      <c r="R6" s="603"/>
      <c r="S6" s="603"/>
      <c r="T6" s="603"/>
      <c r="U6" s="603"/>
      <c r="V6" s="603"/>
      <c r="W6" s="6"/>
      <c r="X6" s="6"/>
    </row>
    <row r="7" spans="1:27" ht="13.5" customHeight="1">
      <c r="A7" s="6"/>
      <c r="B7" s="6"/>
      <c r="C7" s="6"/>
      <c r="D7" s="6"/>
      <c r="E7" s="6"/>
      <c r="F7" s="603"/>
      <c r="G7" s="603"/>
      <c r="H7" s="603"/>
      <c r="I7" s="603"/>
      <c r="J7" s="603"/>
      <c r="K7" s="603"/>
      <c r="L7" s="603"/>
      <c r="M7" s="603"/>
      <c r="N7" s="603"/>
      <c r="O7" s="603"/>
      <c r="P7" s="603"/>
      <c r="Q7" s="603"/>
      <c r="R7" s="603"/>
      <c r="S7" s="603"/>
      <c r="T7" s="603"/>
      <c r="U7" s="603"/>
      <c r="V7" s="603"/>
      <c r="W7" s="6"/>
      <c r="X7" s="6"/>
    </row>
    <row r="8" spans="1:27" ht="15.75" customHeight="1">
      <c r="A8" s="1"/>
      <c r="B8" s="6"/>
      <c r="C8" s="6"/>
      <c r="D8" s="6"/>
      <c r="E8" s="6"/>
      <c r="F8" s="6"/>
      <c r="G8" s="6"/>
      <c r="H8" s="6"/>
      <c r="I8" s="6"/>
      <c r="J8" s="6"/>
      <c r="K8" s="6"/>
      <c r="L8" s="6"/>
      <c r="M8" s="6"/>
      <c r="N8" s="6"/>
      <c r="O8" s="6"/>
      <c r="P8" s="6"/>
      <c r="Q8" s="6"/>
      <c r="R8" s="6"/>
      <c r="S8" s="6"/>
      <c r="T8" s="6"/>
      <c r="U8" s="6"/>
      <c r="V8" s="6"/>
      <c r="W8" s="6"/>
      <c r="X8" s="6"/>
    </row>
    <row r="9" spans="1:27" ht="12.75" customHeight="1">
      <c r="A9" s="602"/>
      <c r="B9" s="6"/>
      <c r="C9" s="6"/>
      <c r="D9" s="605"/>
      <c r="E9" s="605"/>
      <c r="F9" s="605" t="s">
        <v>596</v>
      </c>
      <c r="G9" s="605"/>
      <c r="H9" s="605"/>
      <c r="I9" s="605"/>
      <c r="J9" s="605"/>
      <c r="K9" s="605"/>
      <c r="L9" s="605"/>
      <c r="M9" s="605"/>
      <c r="N9" s="603"/>
      <c r="O9" s="603"/>
      <c r="P9" s="603"/>
      <c r="Q9" s="603"/>
      <c r="R9" s="603"/>
      <c r="S9" s="603"/>
      <c r="T9" s="603"/>
      <c r="U9" s="603"/>
      <c r="V9" s="6"/>
      <c r="W9" s="6"/>
      <c r="X9" s="6"/>
    </row>
    <row r="10" spans="1:27" ht="15.6">
      <c r="A10" s="602"/>
      <c r="B10" s="6"/>
      <c r="C10" s="6"/>
      <c r="D10" s="603"/>
      <c r="E10" s="603"/>
      <c r="F10" s="475" t="s">
        <v>710</v>
      </c>
      <c r="G10" s="603"/>
      <c r="H10" s="603"/>
      <c r="I10" s="603"/>
      <c r="J10" s="603"/>
      <c r="K10" s="603"/>
      <c r="L10" s="603"/>
      <c r="M10" s="603"/>
      <c r="N10" s="603"/>
      <c r="O10" s="603"/>
      <c r="P10" s="603"/>
      <c r="Q10" s="603"/>
      <c r="R10" s="603"/>
      <c r="S10" s="603"/>
      <c r="T10" s="603"/>
      <c r="U10" s="603"/>
      <c r="V10" s="6"/>
      <c r="W10" s="6"/>
      <c r="X10" s="6"/>
    </row>
    <row r="11" spans="1:27" ht="15.6">
      <c r="A11" s="602"/>
      <c r="B11" s="6"/>
      <c r="C11" s="6"/>
      <c r="D11" s="603"/>
      <c r="E11" s="603"/>
      <c r="F11" s="603"/>
      <c r="G11" s="603"/>
      <c r="H11" s="603"/>
      <c r="I11" s="603"/>
      <c r="J11" s="603"/>
      <c r="K11" s="603"/>
      <c r="L11" s="603"/>
      <c r="M11" s="603"/>
      <c r="N11" s="603"/>
      <c r="O11" s="603"/>
      <c r="P11" s="603"/>
      <c r="Q11" s="603"/>
      <c r="R11" s="603"/>
      <c r="S11" s="603"/>
      <c r="T11" s="603"/>
      <c r="U11" s="603"/>
      <c r="V11" s="6"/>
      <c r="W11" s="6"/>
      <c r="X11" s="6"/>
    </row>
    <row r="12" spans="1:27" ht="15.6">
      <c r="A12" s="744"/>
      <c r="B12" s="745"/>
      <c r="C12" s="746"/>
      <c r="D12" s="745"/>
      <c r="E12" s="746" t="s">
        <v>108</v>
      </c>
      <c r="F12" s="1227" t="s">
        <v>540</v>
      </c>
      <c r="G12" s="747"/>
      <c r="H12" s="1214" t="s">
        <v>532</v>
      </c>
      <c r="I12" s="1214"/>
      <c r="J12" s="1214"/>
      <c r="K12" s="1214"/>
      <c r="L12" s="1214"/>
      <c r="M12" s="1214"/>
      <c r="N12" s="1214"/>
      <c r="O12" s="1214"/>
      <c r="P12" s="1214"/>
      <c r="Q12" s="1214"/>
      <c r="R12" s="1214"/>
      <c r="S12" s="1214"/>
      <c r="T12" s="1215"/>
      <c r="U12" s="747"/>
      <c r="V12" s="748"/>
      <c r="W12" s="749"/>
      <c r="X12" s="746"/>
    </row>
    <row r="13" spans="1:27" ht="15.6">
      <c r="A13" s="750" t="s">
        <v>50</v>
      </c>
      <c r="B13" s="751" t="s">
        <v>538</v>
      </c>
      <c r="C13" s="752" t="s">
        <v>344</v>
      </c>
      <c r="D13" s="752" t="s">
        <v>345</v>
      </c>
      <c r="E13" s="753" t="s">
        <v>539</v>
      </c>
      <c r="F13" s="1228"/>
      <c r="G13" s="754"/>
      <c r="H13" s="1216"/>
      <c r="I13" s="1216"/>
      <c r="J13" s="1216"/>
      <c r="K13" s="1216"/>
      <c r="L13" s="1216"/>
      <c r="M13" s="1216"/>
      <c r="N13" s="1216"/>
      <c r="O13" s="1216"/>
      <c r="P13" s="1216"/>
      <c r="Q13" s="1216"/>
      <c r="R13" s="1216"/>
      <c r="S13" s="1216"/>
      <c r="T13" s="1217"/>
      <c r="U13" s="754"/>
      <c r="V13" s="754"/>
      <c r="W13" s="751" t="s">
        <v>186</v>
      </c>
      <c r="X13" s="752" t="s">
        <v>272</v>
      </c>
    </row>
    <row r="14" spans="1:27" ht="15.6">
      <c r="A14" s="755">
        <v>1</v>
      </c>
      <c r="B14" s="756" t="s">
        <v>347</v>
      </c>
      <c r="C14" s="756" t="s">
        <v>275</v>
      </c>
      <c r="D14" s="756" t="s">
        <v>348</v>
      </c>
      <c r="E14" s="756"/>
      <c r="F14" s="757">
        <v>25309</v>
      </c>
      <c r="G14" s="758"/>
      <c r="H14" s="759">
        <v>1</v>
      </c>
      <c r="I14" s="759">
        <v>9</v>
      </c>
      <c r="J14" s="759"/>
      <c r="K14" s="759">
        <v>0</v>
      </c>
      <c r="L14" s="759">
        <v>0</v>
      </c>
      <c r="M14" s="759">
        <v>0</v>
      </c>
      <c r="N14" s="759">
        <v>0</v>
      </c>
      <c r="O14" s="759">
        <v>7</v>
      </c>
      <c r="P14" s="759">
        <v>8</v>
      </c>
      <c r="Q14" s="759">
        <v>8</v>
      </c>
      <c r="R14" s="759">
        <v>7</v>
      </c>
      <c r="S14" s="759">
        <v>7</v>
      </c>
      <c r="T14" s="759">
        <v>2</v>
      </c>
      <c r="U14" s="756"/>
      <c r="V14" s="756"/>
      <c r="W14" s="760">
        <v>2500</v>
      </c>
      <c r="X14" s="760">
        <v>2500</v>
      </c>
    </row>
    <row r="15" spans="1:27" ht="15.6">
      <c r="A15" s="755">
        <v>2</v>
      </c>
      <c r="B15" s="756" t="s">
        <v>276</v>
      </c>
      <c r="C15" s="761" t="s">
        <v>277</v>
      </c>
      <c r="D15" s="761" t="s">
        <v>548</v>
      </c>
      <c r="E15" s="761"/>
      <c r="F15" s="757">
        <v>27998</v>
      </c>
      <c r="G15" s="762"/>
      <c r="H15" s="759">
        <v>1</v>
      </c>
      <c r="I15" s="759">
        <v>0</v>
      </c>
      <c r="J15" s="759"/>
      <c r="K15" s="759">
        <v>0</v>
      </c>
      <c r="L15" s="759">
        <v>0</v>
      </c>
      <c r="M15" s="759">
        <v>0</v>
      </c>
      <c r="N15" s="759">
        <v>0</v>
      </c>
      <c r="O15" s="759">
        <v>9</v>
      </c>
      <c r="P15" s="759">
        <v>2</v>
      </c>
      <c r="Q15" s="759">
        <v>4</v>
      </c>
      <c r="R15" s="759">
        <v>3</v>
      </c>
      <c r="S15" s="759">
        <v>2</v>
      </c>
      <c r="T15" s="759">
        <v>0</v>
      </c>
      <c r="U15" s="756"/>
      <c r="V15" s="756"/>
      <c r="W15" s="760">
        <v>2039.1</v>
      </c>
      <c r="X15" s="760">
        <v>2039.1</v>
      </c>
      <c r="AA15" t="s">
        <v>533</v>
      </c>
    </row>
    <row r="16" spans="1:27" ht="15.6">
      <c r="A16" s="755">
        <v>3</v>
      </c>
      <c r="B16" s="756" t="s">
        <v>278</v>
      </c>
      <c r="C16" s="756" t="s">
        <v>279</v>
      </c>
      <c r="D16" s="756" t="s">
        <v>351</v>
      </c>
      <c r="E16" s="756"/>
      <c r="F16" s="763">
        <v>26680</v>
      </c>
      <c r="G16" s="764"/>
      <c r="H16" s="759">
        <v>1</v>
      </c>
      <c r="I16" s="759">
        <v>0</v>
      </c>
      <c r="J16" s="759"/>
      <c r="K16" s="759">
        <v>0</v>
      </c>
      <c r="L16" s="759">
        <v>0</v>
      </c>
      <c r="M16" s="759">
        <v>0</v>
      </c>
      <c r="N16" s="759">
        <v>0</v>
      </c>
      <c r="O16" s="759">
        <v>7</v>
      </c>
      <c r="P16" s="759">
        <v>4</v>
      </c>
      <c r="Q16" s="759">
        <v>1</v>
      </c>
      <c r="R16" s="759">
        <v>7</v>
      </c>
      <c r="S16" s="759">
        <v>2</v>
      </c>
      <c r="T16" s="759">
        <v>2</v>
      </c>
      <c r="U16" s="756"/>
      <c r="V16" s="756"/>
      <c r="W16" s="765">
        <v>1954.05</v>
      </c>
      <c r="X16" s="760">
        <v>1954.05</v>
      </c>
    </row>
    <row r="17" spans="1:28" ht="15.6">
      <c r="A17" s="755">
        <v>4</v>
      </c>
      <c r="B17" s="766" t="s">
        <v>280</v>
      </c>
      <c r="C17" s="766" t="s">
        <v>281</v>
      </c>
      <c r="D17" s="766" t="s">
        <v>353</v>
      </c>
      <c r="E17" s="766"/>
      <c r="F17" s="757">
        <v>33118</v>
      </c>
      <c r="G17" s="767"/>
      <c r="H17" s="768">
        <v>1</v>
      </c>
      <c r="I17" s="768">
        <v>0</v>
      </c>
      <c r="J17" s="769"/>
      <c r="K17" s="768">
        <v>2</v>
      </c>
      <c r="L17" s="768">
        <v>0</v>
      </c>
      <c r="M17" s="768">
        <v>1</v>
      </c>
      <c r="N17" s="768">
        <v>8</v>
      </c>
      <c r="O17" s="768">
        <v>1</v>
      </c>
      <c r="P17" s="768">
        <v>4</v>
      </c>
      <c r="Q17" s="768">
        <v>9</v>
      </c>
      <c r="R17" s="768">
        <v>0</v>
      </c>
      <c r="S17" s="768">
        <v>7</v>
      </c>
      <c r="T17" s="768">
        <v>6</v>
      </c>
      <c r="U17" s="770"/>
      <c r="V17" s="770"/>
      <c r="W17" s="771">
        <v>1035.32</v>
      </c>
      <c r="X17" s="772">
        <v>1035.33</v>
      </c>
    </row>
    <row r="18" spans="1:28" ht="15.6">
      <c r="A18" s="755">
        <v>5</v>
      </c>
      <c r="B18" s="766" t="s">
        <v>282</v>
      </c>
      <c r="C18" s="766" t="s">
        <v>534</v>
      </c>
      <c r="D18" s="766" t="s">
        <v>326</v>
      </c>
      <c r="E18" s="766"/>
      <c r="F18" s="757">
        <v>23889</v>
      </c>
      <c r="G18" s="767"/>
      <c r="H18" s="773">
        <v>1</v>
      </c>
      <c r="I18" s="773">
        <v>0</v>
      </c>
      <c r="J18" s="774"/>
      <c r="K18" s="773">
        <v>0</v>
      </c>
      <c r="L18" s="773">
        <v>0</v>
      </c>
      <c r="M18" s="773">
        <v>0</v>
      </c>
      <c r="N18" s="773">
        <v>0</v>
      </c>
      <c r="O18" s="773">
        <v>3</v>
      </c>
      <c r="P18" s="773">
        <v>2</v>
      </c>
      <c r="Q18" s="773">
        <v>1</v>
      </c>
      <c r="R18" s="773">
        <v>4</v>
      </c>
      <c r="S18" s="773">
        <v>8</v>
      </c>
      <c r="T18" s="773">
        <v>0</v>
      </c>
      <c r="U18" s="766"/>
      <c r="V18" s="766"/>
      <c r="W18" s="775">
        <v>1282.5999999999999</v>
      </c>
      <c r="X18" s="776">
        <v>1282.5999999999999</v>
      </c>
    </row>
    <row r="19" spans="1:28" ht="15.6">
      <c r="A19" s="755">
        <v>6</v>
      </c>
      <c r="B19" s="766" t="s">
        <v>285</v>
      </c>
      <c r="C19" s="766" t="s">
        <v>286</v>
      </c>
      <c r="D19" s="766" t="s">
        <v>356</v>
      </c>
      <c r="E19" s="766"/>
      <c r="F19" s="757">
        <v>26324</v>
      </c>
      <c r="G19" s="767"/>
      <c r="H19" s="773">
        <v>1</v>
      </c>
      <c r="I19" s="773">
        <v>0</v>
      </c>
      <c r="J19" s="774"/>
      <c r="K19" s="773">
        <v>0</v>
      </c>
      <c r="L19" s="773">
        <v>0</v>
      </c>
      <c r="M19" s="773">
        <v>0</v>
      </c>
      <c r="N19" s="773">
        <v>0</v>
      </c>
      <c r="O19" s="773">
        <v>3</v>
      </c>
      <c r="P19" s="773">
        <v>2</v>
      </c>
      <c r="Q19" s="773">
        <v>1</v>
      </c>
      <c r="R19" s="773">
        <v>4</v>
      </c>
      <c r="S19" s="773">
        <v>4</v>
      </c>
      <c r="T19" s="773">
        <v>8</v>
      </c>
      <c r="U19" s="766"/>
      <c r="V19" s="766"/>
      <c r="W19" s="775">
        <v>952.95</v>
      </c>
      <c r="X19" s="776">
        <v>952.95</v>
      </c>
    </row>
    <row r="20" spans="1:28" ht="15.6">
      <c r="A20" s="755">
        <v>7</v>
      </c>
      <c r="B20" s="766" t="s">
        <v>287</v>
      </c>
      <c r="C20" s="766" t="s">
        <v>288</v>
      </c>
      <c r="D20" s="766" t="s">
        <v>358</v>
      </c>
      <c r="E20" s="766"/>
      <c r="F20" s="757">
        <v>28404</v>
      </c>
      <c r="G20" s="767"/>
      <c r="H20" s="773">
        <v>1</v>
      </c>
      <c r="I20" s="773">
        <v>0</v>
      </c>
      <c r="J20" s="774"/>
      <c r="K20" s="773">
        <v>0</v>
      </c>
      <c r="L20" s="773">
        <v>0</v>
      </c>
      <c r="M20" s="773">
        <v>0</v>
      </c>
      <c r="N20" s="773">
        <v>0</v>
      </c>
      <c r="O20" s="773">
        <v>9</v>
      </c>
      <c r="P20" s="773">
        <v>0</v>
      </c>
      <c r="Q20" s="773">
        <v>0</v>
      </c>
      <c r="R20" s="773">
        <v>8</v>
      </c>
      <c r="S20" s="773">
        <v>5</v>
      </c>
      <c r="T20" s="773">
        <v>5</v>
      </c>
      <c r="U20" s="766"/>
      <c r="V20" s="766"/>
      <c r="W20" s="775">
        <v>1025.1500000000001</v>
      </c>
      <c r="X20" s="776">
        <v>1025.1500000000001</v>
      </c>
    </row>
    <row r="21" spans="1:28" ht="15.6">
      <c r="A21" s="755">
        <v>8</v>
      </c>
      <c r="B21" s="766" t="s">
        <v>289</v>
      </c>
      <c r="C21" s="766" t="s">
        <v>290</v>
      </c>
      <c r="D21" s="766" t="s">
        <v>360</v>
      </c>
      <c r="E21" s="766"/>
      <c r="F21" s="763">
        <v>25553</v>
      </c>
      <c r="G21" s="767"/>
      <c r="H21" s="773">
        <v>1</v>
      </c>
      <c r="I21" s="773">
        <v>0</v>
      </c>
      <c r="J21" s="774"/>
      <c r="K21" s="773">
        <v>2</v>
      </c>
      <c r="L21" s="773">
        <v>0</v>
      </c>
      <c r="M21" s="773">
        <v>1</v>
      </c>
      <c r="N21" s="773">
        <v>2</v>
      </c>
      <c r="O21" s="773">
        <v>5</v>
      </c>
      <c r="P21" s="773">
        <v>8</v>
      </c>
      <c r="Q21" s="773">
        <v>7</v>
      </c>
      <c r="R21" s="773">
        <v>8</v>
      </c>
      <c r="S21" s="773">
        <v>5</v>
      </c>
      <c r="T21" s="773">
        <v>3</v>
      </c>
      <c r="U21" s="766"/>
      <c r="V21" s="766"/>
      <c r="W21" s="775">
        <v>430.22</v>
      </c>
      <c r="X21" s="776">
        <v>430.23</v>
      </c>
    </row>
    <row r="22" spans="1:28" ht="15.6">
      <c r="A22" s="755">
        <v>9</v>
      </c>
      <c r="B22" s="766" t="s">
        <v>535</v>
      </c>
      <c r="C22" s="766" t="s">
        <v>598</v>
      </c>
      <c r="D22" s="766" t="s">
        <v>362</v>
      </c>
      <c r="E22" s="773" t="s">
        <v>549</v>
      </c>
      <c r="F22" s="763">
        <v>26265</v>
      </c>
      <c r="G22" s="767"/>
      <c r="H22" s="773">
        <v>1</v>
      </c>
      <c r="I22" s="773">
        <v>0</v>
      </c>
      <c r="J22" s="774"/>
      <c r="K22" s="773">
        <v>0</v>
      </c>
      <c r="L22" s="773">
        <v>0</v>
      </c>
      <c r="M22" s="773">
        <v>0</v>
      </c>
      <c r="N22" s="773">
        <v>0</v>
      </c>
      <c r="O22" s="773">
        <v>9</v>
      </c>
      <c r="P22" s="773">
        <v>8</v>
      </c>
      <c r="Q22" s="773">
        <v>1</v>
      </c>
      <c r="R22" s="773">
        <v>8</v>
      </c>
      <c r="S22" s="773">
        <v>4</v>
      </c>
      <c r="T22" s="773">
        <v>7</v>
      </c>
      <c r="U22" s="766"/>
      <c r="V22" s="766"/>
      <c r="W22" s="775">
        <v>453.32</v>
      </c>
      <c r="X22" s="776">
        <v>453.33</v>
      </c>
      <c r="AB22" t="s">
        <v>536</v>
      </c>
    </row>
    <row r="23" spans="1:28" ht="15.6">
      <c r="A23" s="755">
        <v>10</v>
      </c>
      <c r="B23" s="766" t="s">
        <v>292</v>
      </c>
      <c r="C23" s="766" t="s">
        <v>293</v>
      </c>
      <c r="D23" s="766" t="s">
        <v>364</v>
      </c>
      <c r="E23" s="766"/>
      <c r="F23" s="763">
        <v>28312</v>
      </c>
      <c r="G23" s="767"/>
      <c r="H23" s="773">
        <v>1</v>
      </c>
      <c r="I23" s="773">
        <v>0</v>
      </c>
      <c r="J23" s="774"/>
      <c r="K23" s="773">
        <v>0</v>
      </c>
      <c r="L23" s="773">
        <v>2</v>
      </c>
      <c r="M23" s="773">
        <v>5</v>
      </c>
      <c r="N23" s="773">
        <v>0</v>
      </c>
      <c r="O23" s="773">
        <v>4</v>
      </c>
      <c r="P23" s="773">
        <v>0</v>
      </c>
      <c r="Q23" s="773">
        <v>1</v>
      </c>
      <c r="R23" s="773">
        <v>2</v>
      </c>
      <c r="S23" s="773">
        <v>9</v>
      </c>
      <c r="T23" s="773">
        <v>3</v>
      </c>
      <c r="U23" s="766"/>
      <c r="V23" s="766"/>
      <c r="W23" s="775">
        <v>402.2</v>
      </c>
      <c r="X23" s="776">
        <v>402.2</v>
      </c>
    </row>
    <row r="24" spans="1:28" ht="15.6">
      <c r="A24" s="755">
        <v>11</v>
      </c>
      <c r="B24" s="766" t="s">
        <v>294</v>
      </c>
      <c r="C24" s="766" t="s">
        <v>295</v>
      </c>
      <c r="D24" s="766" t="s">
        <v>366</v>
      </c>
      <c r="E24" s="766"/>
      <c r="F24" s="757">
        <v>35129</v>
      </c>
      <c r="G24" s="767"/>
      <c r="H24" s="773">
        <v>1</v>
      </c>
      <c r="I24" s="773">
        <v>0</v>
      </c>
      <c r="J24" s="774"/>
      <c r="K24" s="773">
        <v>0</v>
      </c>
      <c r="L24" s="773">
        <v>0</v>
      </c>
      <c r="M24" s="773">
        <v>0</v>
      </c>
      <c r="N24" s="773">
        <v>1</v>
      </c>
      <c r="O24" s="773">
        <v>1</v>
      </c>
      <c r="P24" s="773">
        <v>9</v>
      </c>
      <c r="Q24" s="773">
        <v>2</v>
      </c>
      <c r="R24" s="773">
        <v>1</v>
      </c>
      <c r="S24" s="773">
        <v>3</v>
      </c>
      <c r="T24" s="773">
        <v>7</v>
      </c>
      <c r="U24" s="766"/>
      <c r="V24" s="766"/>
      <c r="W24" s="775">
        <v>649.9</v>
      </c>
      <c r="X24" s="776">
        <v>649.9</v>
      </c>
    </row>
    <row r="25" spans="1:28" ht="15.6">
      <c r="A25" s="755">
        <v>12</v>
      </c>
      <c r="B25" s="766" t="s">
        <v>296</v>
      </c>
      <c r="C25" s="766" t="s">
        <v>297</v>
      </c>
      <c r="D25" s="766" t="s">
        <v>550</v>
      </c>
      <c r="E25" s="777"/>
      <c r="F25" s="757">
        <v>24970</v>
      </c>
      <c r="G25" s="762"/>
      <c r="H25" s="773">
        <v>1</v>
      </c>
      <c r="I25" s="773">
        <v>0</v>
      </c>
      <c r="J25" s="773"/>
      <c r="K25" s="773">
        <v>0</v>
      </c>
      <c r="L25" s="773">
        <v>2</v>
      </c>
      <c r="M25" s="773">
        <v>5</v>
      </c>
      <c r="N25" s="773">
        <v>0</v>
      </c>
      <c r="O25" s="773">
        <v>9</v>
      </c>
      <c r="P25" s="773">
        <v>1</v>
      </c>
      <c r="Q25" s="773">
        <v>6</v>
      </c>
      <c r="R25" s="773">
        <v>1</v>
      </c>
      <c r="S25" s="773">
        <v>9</v>
      </c>
      <c r="T25" s="773">
        <v>6</v>
      </c>
      <c r="U25" s="766"/>
      <c r="V25" s="766"/>
      <c r="W25" s="775">
        <v>510.2</v>
      </c>
      <c r="X25" s="776">
        <v>510.2</v>
      </c>
    </row>
    <row r="26" spans="1:28" ht="15.6">
      <c r="A26" s="755">
        <v>13</v>
      </c>
      <c r="B26" s="946" t="s">
        <v>298</v>
      </c>
      <c r="C26" s="946" t="s">
        <v>299</v>
      </c>
      <c r="D26" s="946" t="s">
        <v>369</v>
      </c>
      <c r="E26" s="946"/>
      <c r="F26" s="947">
        <v>28367</v>
      </c>
      <c r="G26" s="951"/>
      <c r="H26" s="948">
        <v>1</v>
      </c>
      <c r="I26" s="948">
        <v>0</v>
      </c>
      <c r="J26" s="769"/>
      <c r="K26" s="948">
        <v>0</v>
      </c>
      <c r="L26" s="948">
        <v>0</v>
      </c>
      <c r="M26" s="948">
        <v>0</v>
      </c>
      <c r="N26" s="948">
        <v>0</v>
      </c>
      <c r="O26" s="948">
        <v>2</v>
      </c>
      <c r="P26" s="948">
        <v>0</v>
      </c>
      <c r="Q26" s="948">
        <v>7</v>
      </c>
      <c r="R26" s="948">
        <v>8</v>
      </c>
      <c r="S26" s="948">
        <v>2</v>
      </c>
      <c r="T26" s="948">
        <v>0</v>
      </c>
      <c r="U26" s="946"/>
      <c r="V26" s="946"/>
      <c r="W26" s="949">
        <v>1309.17</v>
      </c>
      <c r="X26" s="950">
        <v>1309.18</v>
      </c>
    </row>
    <row r="27" spans="1:28" ht="15.6">
      <c r="A27" s="755">
        <v>14</v>
      </c>
      <c r="B27" s="766" t="s">
        <v>300</v>
      </c>
      <c r="C27" s="766" t="s">
        <v>301</v>
      </c>
      <c r="D27" s="766" t="s">
        <v>597</v>
      </c>
      <c r="E27" s="766"/>
      <c r="F27" s="757">
        <v>22487</v>
      </c>
      <c r="G27" s="770"/>
      <c r="H27" s="773">
        <v>1</v>
      </c>
      <c r="I27" s="773">
        <v>0</v>
      </c>
      <c r="J27" s="768"/>
      <c r="K27" s="773">
        <v>0</v>
      </c>
      <c r="L27" s="773">
        <v>0</v>
      </c>
      <c r="M27" s="773">
        <v>0</v>
      </c>
      <c r="N27" s="773">
        <v>0</v>
      </c>
      <c r="O27" s="773">
        <v>8</v>
      </c>
      <c r="P27" s="773">
        <v>2</v>
      </c>
      <c r="Q27" s="773">
        <v>3</v>
      </c>
      <c r="R27" s="773">
        <v>8</v>
      </c>
      <c r="S27" s="773">
        <v>9</v>
      </c>
      <c r="T27" s="773">
        <v>3</v>
      </c>
      <c r="U27" s="766"/>
      <c r="V27" s="766"/>
      <c r="W27" s="775">
        <v>1077.25</v>
      </c>
      <c r="X27" s="776">
        <v>1077.25</v>
      </c>
    </row>
    <row r="28" spans="1:28" ht="15.6">
      <c r="A28" s="755">
        <v>15</v>
      </c>
      <c r="B28" s="766" t="s">
        <v>302</v>
      </c>
      <c r="C28" s="766" t="s">
        <v>303</v>
      </c>
      <c r="D28" s="766" t="s">
        <v>371</v>
      </c>
      <c r="E28" s="766"/>
      <c r="F28" s="757">
        <v>30185</v>
      </c>
      <c r="G28" s="767"/>
      <c r="H28" s="773">
        <v>1</v>
      </c>
      <c r="I28" s="773">
        <v>0</v>
      </c>
      <c r="J28" s="778"/>
      <c r="K28" s="773">
        <v>0</v>
      </c>
      <c r="L28" s="773">
        <v>0</v>
      </c>
      <c r="M28" s="773">
        <v>0</v>
      </c>
      <c r="N28" s="773">
        <v>0</v>
      </c>
      <c r="O28" s="773">
        <v>8</v>
      </c>
      <c r="P28" s="773">
        <v>9</v>
      </c>
      <c r="Q28" s="773">
        <v>5</v>
      </c>
      <c r="R28" s="773">
        <v>8</v>
      </c>
      <c r="S28" s="773">
        <v>9</v>
      </c>
      <c r="T28" s="773">
        <v>4</v>
      </c>
      <c r="U28" s="766"/>
      <c r="V28" s="766"/>
      <c r="W28" s="776">
        <v>1282.5999999999999</v>
      </c>
      <c r="X28" s="776">
        <v>1282.5999999999999</v>
      </c>
    </row>
    <row r="29" spans="1:28" ht="15.6">
      <c r="A29" s="755">
        <v>16</v>
      </c>
      <c r="B29" s="766" t="s">
        <v>304</v>
      </c>
      <c r="C29" s="766" t="s">
        <v>305</v>
      </c>
      <c r="D29" s="766" t="s">
        <v>296</v>
      </c>
      <c r="E29" s="766"/>
      <c r="F29" s="757">
        <v>34606</v>
      </c>
      <c r="G29" s="767"/>
      <c r="H29" s="773">
        <v>1</v>
      </c>
      <c r="I29" s="773">
        <v>0</v>
      </c>
      <c r="J29" s="774"/>
      <c r="K29" s="773">
        <v>2</v>
      </c>
      <c r="L29" s="773">
        <v>5</v>
      </c>
      <c r="M29" s="773">
        <v>0</v>
      </c>
      <c r="N29" s="773">
        <v>6</v>
      </c>
      <c r="O29" s="773">
        <v>4</v>
      </c>
      <c r="P29" s="773">
        <v>7</v>
      </c>
      <c r="Q29" s="773">
        <v>2</v>
      </c>
      <c r="R29" s="773">
        <v>8</v>
      </c>
      <c r="S29" s="773">
        <v>0</v>
      </c>
      <c r="T29" s="773">
        <v>3</v>
      </c>
      <c r="U29" s="766"/>
      <c r="V29" s="766"/>
      <c r="W29" s="776">
        <v>925.6</v>
      </c>
      <c r="X29" s="776">
        <v>925.6</v>
      </c>
    </row>
    <row r="30" spans="1:28" ht="15.6">
      <c r="A30" s="755">
        <v>17</v>
      </c>
      <c r="B30" s="766" t="s">
        <v>306</v>
      </c>
      <c r="C30" s="766" t="s">
        <v>307</v>
      </c>
      <c r="D30" s="766" t="s">
        <v>551</v>
      </c>
      <c r="E30" s="777"/>
      <c r="F30" s="757">
        <v>35890</v>
      </c>
      <c r="G30" s="767"/>
      <c r="H30" s="773">
        <v>1</v>
      </c>
      <c r="I30" s="773">
        <v>0</v>
      </c>
      <c r="J30" s="778"/>
      <c r="K30" s="773">
        <v>2</v>
      </c>
      <c r="L30" s="773">
        <v>5</v>
      </c>
      <c r="M30" s="773">
        <v>0</v>
      </c>
      <c r="N30" s="773">
        <v>7</v>
      </c>
      <c r="O30" s="773">
        <v>0</v>
      </c>
      <c r="P30" s="773">
        <v>5</v>
      </c>
      <c r="Q30" s="773">
        <v>9</v>
      </c>
      <c r="R30" s="773">
        <v>1</v>
      </c>
      <c r="S30" s="773">
        <v>5</v>
      </c>
      <c r="T30" s="773">
        <v>2</v>
      </c>
      <c r="U30" s="766"/>
      <c r="V30" s="766"/>
      <c r="W30" s="776">
        <v>649.9</v>
      </c>
      <c r="X30" s="776">
        <v>649.9</v>
      </c>
    </row>
    <row r="31" spans="1:28" ht="15.6">
      <c r="A31" s="755">
        <v>18</v>
      </c>
      <c r="B31" s="766" t="s">
        <v>308</v>
      </c>
      <c r="C31" s="766" t="s">
        <v>309</v>
      </c>
      <c r="D31" s="766" t="s">
        <v>377</v>
      </c>
      <c r="E31" s="766"/>
      <c r="F31" s="757">
        <v>22351</v>
      </c>
      <c r="G31" s="767"/>
      <c r="H31" s="773">
        <v>1</v>
      </c>
      <c r="I31" s="773">
        <v>0</v>
      </c>
      <c r="J31" s="774"/>
      <c r="K31" s="773">
        <v>0</v>
      </c>
      <c r="L31" s="773">
        <v>0</v>
      </c>
      <c r="M31" s="773">
        <v>0</v>
      </c>
      <c r="N31" s="773">
        <v>0</v>
      </c>
      <c r="O31" s="773">
        <v>4</v>
      </c>
      <c r="P31" s="773">
        <v>4</v>
      </c>
      <c r="Q31" s="773">
        <v>6</v>
      </c>
      <c r="R31" s="773">
        <v>2</v>
      </c>
      <c r="S31" s="773">
        <v>1</v>
      </c>
      <c r="T31" s="773">
        <v>6</v>
      </c>
      <c r="U31" s="766"/>
      <c r="V31" s="766"/>
      <c r="W31" s="776">
        <v>1309.17</v>
      </c>
      <c r="X31" s="776">
        <v>1309.18</v>
      </c>
    </row>
    <row r="32" spans="1:28" ht="15.6">
      <c r="A32" s="755">
        <v>19</v>
      </c>
      <c r="B32" s="766" t="s">
        <v>310</v>
      </c>
      <c r="C32" s="766" t="s">
        <v>311</v>
      </c>
      <c r="D32" s="766" t="s">
        <v>379</v>
      </c>
      <c r="E32" s="766"/>
      <c r="F32" s="757">
        <v>29908</v>
      </c>
      <c r="G32" s="767"/>
      <c r="H32" s="773">
        <v>1</v>
      </c>
      <c r="I32" s="773">
        <v>3</v>
      </c>
      <c r="J32" s="774"/>
      <c r="K32" s="773">
        <v>0</v>
      </c>
      <c r="L32" s="773">
        <v>2</v>
      </c>
      <c r="M32" s="773">
        <v>5</v>
      </c>
      <c r="N32" s="773">
        <v>0</v>
      </c>
      <c r="O32" s="773">
        <v>6</v>
      </c>
      <c r="P32" s="773">
        <v>8</v>
      </c>
      <c r="Q32" s="773">
        <v>8</v>
      </c>
      <c r="R32" s="773">
        <v>9</v>
      </c>
      <c r="S32" s="773">
        <v>7</v>
      </c>
      <c r="T32" s="773">
        <v>1</v>
      </c>
      <c r="U32" s="766"/>
      <c r="V32" s="766"/>
      <c r="W32" s="776">
        <v>1035.32</v>
      </c>
      <c r="X32" s="776">
        <v>1035.33</v>
      </c>
    </row>
    <row r="33" spans="1:24" ht="15.6">
      <c r="A33" s="755">
        <v>20</v>
      </c>
      <c r="B33" s="766" t="s">
        <v>312</v>
      </c>
      <c r="C33" s="766" t="s">
        <v>313</v>
      </c>
      <c r="D33" s="766" t="s">
        <v>381</v>
      </c>
      <c r="E33" s="766"/>
      <c r="F33" s="757">
        <v>27392</v>
      </c>
      <c r="G33" s="767"/>
      <c r="H33" s="773">
        <v>1</v>
      </c>
      <c r="I33" s="773">
        <v>0</v>
      </c>
      <c r="J33" s="774"/>
      <c r="K33" s="773">
        <v>0</v>
      </c>
      <c r="L33" s="773">
        <v>0</v>
      </c>
      <c r="M33" s="773">
        <v>0</v>
      </c>
      <c r="N33" s="773">
        <v>0</v>
      </c>
      <c r="O33" s="773">
        <v>2</v>
      </c>
      <c r="P33" s="773">
        <v>0</v>
      </c>
      <c r="Q33" s="773">
        <v>8</v>
      </c>
      <c r="R33" s="773">
        <v>0</v>
      </c>
      <c r="S33" s="773">
        <v>2</v>
      </c>
      <c r="T33" s="773">
        <v>1</v>
      </c>
      <c r="U33" s="766"/>
      <c r="V33" s="766"/>
      <c r="W33" s="776">
        <v>1056.02</v>
      </c>
      <c r="X33" s="776">
        <v>1056.03</v>
      </c>
    </row>
    <row r="34" spans="1:24" ht="15.6">
      <c r="A34" s="755">
        <v>21</v>
      </c>
      <c r="B34" s="766" t="s">
        <v>314</v>
      </c>
      <c r="C34" s="766" t="s">
        <v>315</v>
      </c>
      <c r="D34" s="766" t="s">
        <v>383</v>
      </c>
      <c r="E34" s="766"/>
      <c r="F34" s="757">
        <v>29471</v>
      </c>
      <c r="G34" s="767"/>
      <c r="H34" s="773">
        <v>1</v>
      </c>
      <c r="I34" s="773">
        <v>0</v>
      </c>
      <c r="J34" s="774"/>
      <c r="K34" s="773">
        <v>0</v>
      </c>
      <c r="L34" s="773">
        <v>0</v>
      </c>
      <c r="M34" s="773">
        <v>0</v>
      </c>
      <c r="N34" s="773">
        <v>1</v>
      </c>
      <c r="O34" s="773">
        <v>0</v>
      </c>
      <c r="P34" s="773">
        <v>7</v>
      </c>
      <c r="Q34" s="773">
        <v>7</v>
      </c>
      <c r="R34" s="773">
        <v>0</v>
      </c>
      <c r="S34" s="773">
        <v>3</v>
      </c>
      <c r="T34" s="773">
        <v>6</v>
      </c>
      <c r="U34" s="766"/>
      <c r="V34" s="766"/>
      <c r="W34" s="776">
        <v>1025.1500000000001</v>
      </c>
      <c r="X34" s="776">
        <v>1025.1500000000001</v>
      </c>
    </row>
    <row r="35" spans="1:24" ht="15.6">
      <c r="A35" s="755">
        <v>22</v>
      </c>
      <c r="B35" s="766" t="s">
        <v>316</v>
      </c>
      <c r="C35" s="766" t="s">
        <v>317</v>
      </c>
      <c r="D35" s="766" t="s">
        <v>385</v>
      </c>
      <c r="E35" s="766"/>
      <c r="F35" s="757">
        <v>25794</v>
      </c>
      <c r="G35" s="767"/>
      <c r="H35" s="773">
        <v>1</v>
      </c>
      <c r="I35" s="773">
        <v>9</v>
      </c>
      <c r="J35" s="778"/>
      <c r="K35" s="773">
        <v>0</v>
      </c>
      <c r="L35" s="773">
        <v>8</v>
      </c>
      <c r="M35" s="773">
        <v>9</v>
      </c>
      <c r="N35" s="773">
        <v>7</v>
      </c>
      <c r="O35" s="773">
        <v>3</v>
      </c>
      <c r="P35" s="773">
        <v>0</v>
      </c>
      <c r="Q35" s="773">
        <v>8</v>
      </c>
      <c r="R35" s="773">
        <v>5</v>
      </c>
      <c r="S35" s="773">
        <v>1</v>
      </c>
      <c r="T35" s="773">
        <v>0</v>
      </c>
      <c r="U35" s="766"/>
      <c r="V35" s="766"/>
      <c r="W35" s="776">
        <v>1025.1500000000001</v>
      </c>
      <c r="X35" s="776">
        <v>1025.1500000000001</v>
      </c>
    </row>
    <row r="36" spans="1:24" ht="15.6">
      <c r="A36" s="755">
        <v>23</v>
      </c>
      <c r="B36" s="766" t="s">
        <v>318</v>
      </c>
      <c r="C36" s="766" t="s">
        <v>319</v>
      </c>
      <c r="D36" s="766" t="s">
        <v>387</v>
      </c>
      <c r="E36" s="766"/>
      <c r="F36" s="757">
        <v>28448</v>
      </c>
      <c r="G36" s="767"/>
      <c r="H36" s="773">
        <v>2</v>
      </c>
      <c r="I36" s="773">
        <v>3</v>
      </c>
      <c r="J36" s="774"/>
      <c r="K36" s="773">
        <v>0</v>
      </c>
      <c r="L36" s="773">
        <v>0</v>
      </c>
      <c r="M36" s="773">
        <v>0</v>
      </c>
      <c r="N36" s="773">
        <v>4</v>
      </c>
      <c r="O36" s="773">
        <v>1</v>
      </c>
      <c r="P36" s="773">
        <v>6</v>
      </c>
      <c r="Q36" s="773">
        <v>1</v>
      </c>
      <c r="R36" s="773">
        <v>1</v>
      </c>
      <c r="S36" s="773">
        <v>7</v>
      </c>
      <c r="T36" s="773">
        <v>9</v>
      </c>
      <c r="U36" s="766"/>
      <c r="V36" s="766"/>
      <c r="W36" s="776">
        <v>1025.1500000000001</v>
      </c>
      <c r="X36" s="776">
        <v>1025.1500000000001</v>
      </c>
    </row>
    <row r="37" spans="1:24" ht="15.6">
      <c r="A37" s="755">
        <v>24</v>
      </c>
      <c r="B37" s="777" t="s">
        <v>320</v>
      </c>
      <c r="C37" s="766" t="s">
        <v>321</v>
      </c>
      <c r="D37" s="766" t="s">
        <v>389</v>
      </c>
      <c r="E37" s="777"/>
      <c r="F37" s="757">
        <v>33010</v>
      </c>
      <c r="G37" s="762"/>
      <c r="H37" s="773">
        <v>2</v>
      </c>
      <c r="I37" s="773">
        <v>2</v>
      </c>
      <c r="J37" s="774"/>
      <c r="K37" s="773">
        <v>0</v>
      </c>
      <c r="L37" s="773">
        <v>0</v>
      </c>
      <c r="M37" s="773">
        <v>0</v>
      </c>
      <c r="N37" s="773">
        <v>0</v>
      </c>
      <c r="O37" s="773">
        <v>5</v>
      </c>
      <c r="P37" s="773">
        <v>0</v>
      </c>
      <c r="Q37" s="773">
        <v>9</v>
      </c>
      <c r="R37" s="773">
        <v>5</v>
      </c>
      <c r="S37" s="773">
        <v>3</v>
      </c>
      <c r="T37" s="773">
        <v>2</v>
      </c>
      <c r="U37" s="766"/>
      <c r="V37" s="766"/>
      <c r="W37" s="776">
        <v>1025.1500000000001</v>
      </c>
      <c r="X37" s="776">
        <v>1025.1500000000001</v>
      </c>
    </row>
    <row r="38" spans="1:24" ht="15.6">
      <c r="A38" s="755">
        <v>25</v>
      </c>
      <c r="B38" s="766" t="s">
        <v>323</v>
      </c>
      <c r="C38" s="766" t="s">
        <v>283</v>
      </c>
      <c r="D38" s="766" t="s">
        <v>391</v>
      </c>
      <c r="E38" s="766"/>
      <c r="F38" s="757">
        <v>22944</v>
      </c>
      <c r="G38" s="767"/>
      <c r="H38" s="773">
        <v>1</v>
      </c>
      <c r="I38" s="773">
        <v>0</v>
      </c>
      <c r="J38" s="774">
        <v>0</v>
      </c>
      <c r="K38" s="773">
        <v>0</v>
      </c>
      <c r="L38" s="773">
        <v>0</v>
      </c>
      <c r="M38" s="773">
        <v>0</v>
      </c>
      <c r="N38" s="773">
        <v>0</v>
      </c>
      <c r="O38" s="773">
        <v>2</v>
      </c>
      <c r="P38" s="773">
        <v>0</v>
      </c>
      <c r="Q38" s="773">
        <v>8</v>
      </c>
      <c r="R38" s="773">
        <v>5</v>
      </c>
      <c r="S38" s="773">
        <v>3</v>
      </c>
      <c r="T38" s="773">
        <v>6</v>
      </c>
      <c r="U38" s="766"/>
      <c r="V38" s="766"/>
      <c r="W38" s="776">
        <v>2010.27</v>
      </c>
      <c r="X38" s="776">
        <v>2010.28</v>
      </c>
    </row>
    <row r="39" spans="1:24" ht="15.6">
      <c r="A39" s="755">
        <v>26</v>
      </c>
      <c r="B39" s="766" t="s">
        <v>537</v>
      </c>
      <c r="C39" s="766" t="s">
        <v>325</v>
      </c>
      <c r="D39" s="766" t="s">
        <v>393</v>
      </c>
      <c r="E39" s="766"/>
      <c r="F39" s="757">
        <v>22990</v>
      </c>
      <c r="G39" s="767"/>
      <c r="H39" s="773">
        <v>1</v>
      </c>
      <c r="I39" s="773">
        <v>0</v>
      </c>
      <c r="J39" s="774"/>
      <c r="K39" s="773">
        <v>0</v>
      </c>
      <c r="L39" s="773">
        <v>0</v>
      </c>
      <c r="M39" s="773">
        <v>0</v>
      </c>
      <c r="N39" s="773">
        <v>0</v>
      </c>
      <c r="O39" s="773">
        <v>1</v>
      </c>
      <c r="P39" s="773">
        <v>3</v>
      </c>
      <c r="Q39" s="773">
        <v>1</v>
      </c>
      <c r="R39" s="773">
        <v>3</v>
      </c>
      <c r="S39" s="773">
        <v>4</v>
      </c>
      <c r="T39" s="773">
        <v>3</v>
      </c>
      <c r="U39" s="766"/>
      <c r="V39" s="766"/>
      <c r="W39" s="776">
        <v>1025.1500000000001</v>
      </c>
      <c r="X39" s="776">
        <v>1025.1500000000001</v>
      </c>
    </row>
    <row r="40" spans="1:24" ht="15.6">
      <c r="A40" s="755">
        <v>27</v>
      </c>
      <c r="B40" s="777" t="s">
        <v>326</v>
      </c>
      <c r="C40" s="766" t="s">
        <v>327</v>
      </c>
      <c r="D40" s="766" t="s">
        <v>599</v>
      </c>
      <c r="E40" s="766"/>
      <c r="F40" s="757">
        <v>23033</v>
      </c>
      <c r="G40" s="278"/>
      <c r="H40" s="773">
        <v>1</v>
      </c>
      <c r="I40" s="773">
        <v>0</v>
      </c>
      <c r="J40" s="768"/>
      <c r="K40" s="773">
        <v>0</v>
      </c>
      <c r="L40" s="773">
        <v>0</v>
      </c>
      <c r="M40" s="773">
        <v>0</v>
      </c>
      <c r="N40" s="773">
        <v>0</v>
      </c>
      <c r="O40" s="773">
        <v>0</v>
      </c>
      <c r="P40" s="773">
        <v>4</v>
      </c>
      <c r="Q40" s="773">
        <v>3</v>
      </c>
      <c r="R40" s="773">
        <v>3</v>
      </c>
      <c r="S40" s="773">
        <v>6</v>
      </c>
      <c r="T40" s="773">
        <v>8</v>
      </c>
      <c r="U40" s="766"/>
      <c r="V40" s="766"/>
      <c r="W40" s="775">
        <v>1282.5999999999999</v>
      </c>
      <c r="X40" s="775">
        <v>1282.5999999999999</v>
      </c>
    </row>
    <row r="41" spans="1:24" ht="15.6">
      <c r="A41" s="755">
        <v>28</v>
      </c>
      <c r="B41" s="777" t="s">
        <v>328</v>
      </c>
      <c r="C41" s="766" t="s">
        <v>329</v>
      </c>
      <c r="D41" s="777" t="s">
        <v>552</v>
      </c>
      <c r="E41" s="777"/>
      <c r="F41" s="757">
        <v>35258</v>
      </c>
      <c r="G41" s="278"/>
      <c r="H41" s="773">
        <v>1</v>
      </c>
      <c r="I41" s="773">
        <v>0</v>
      </c>
      <c r="J41" s="779"/>
      <c r="K41" s="778">
        <v>2</v>
      </c>
      <c r="L41" s="778">
        <v>5</v>
      </c>
      <c r="M41" s="778">
        <v>0</v>
      </c>
      <c r="N41" s="778">
        <v>7</v>
      </c>
      <c r="O41" s="778">
        <v>4</v>
      </c>
      <c r="P41" s="778">
        <v>2</v>
      </c>
      <c r="Q41" s="778">
        <v>7</v>
      </c>
      <c r="R41" s="778">
        <v>3</v>
      </c>
      <c r="S41" s="778">
        <v>0</v>
      </c>
      <c r="T41" s="773">
        <v>6</v>
      </c>
      <c r="U41" s="766"/>
      <c r="V41" s="766"/>
      <c r="W41" s="775">
        <v>1005.2</v>
      </c>
      <c r="X41" s="775">
        <v>1005.2</v>
      </c>
    </row>
    <row r="42" spans="1:24" ht="15.6">
      <c r="A42" s="755">
        <v>29</v>
      </c>
      <c r="B42" s="777" t="s">
        <v>330</v>
      </c>
      <c r="C42" s="766" t="s">
        <v>331</v>
      </c>
      <c r="D42" s="766" t="s">
        <v>399</v>
      </c>
      <c r="E42" s="766"/>
      <c r="F42" s="757">
        <v>32178</v>
      </c>
      <c r="G42" s="278"/>
      <c r="H42" s="773">
        <v>0</v>
      </c>
      <c r="I42" s="773">
        <v>8</v>
      </c>
      <c r="J42" s="774"/>
      <c r="K42" s="773">
        <v>0</v>
      </c>
      <c r="L42" s="773">
        <v>8</v>
      </c>
      <c r="M42" s="773">
        <v>0</v>
      </c>
      <c r="N42" s="773">
        <v>9</v>
      </c>
      <c r="O42" s="773">
        <v>5</v>
      </c>
      <c r="P42" s="773">
        <v>9</v>
      </c>
      <c r="Q42" s="773">
        <v>4</v>
      </c>
      <c r="R42" s="773">
        <v>2</v>
      </c>
      <c r="S42" s="773">
        <v>1</v>
      </c>
      <c r="T42" s="773">
        <v>3</v>
      </c>
      <c r="U42" s="766"/>
      <c r="V42" s="766"/>
      <c r="W42" s="775">
        <v>1954.05</v>
      </c>
      <c r="X42" s="775">
        <v>1954.05</v>
      </c>
    </row>
    <row r="43" spans="1:24" ht="15.6">
      <c r="A43" s="755">
        <v>30</v>
      </c>
      <c r="B43" s="777" t="s">
        <v>332</v>
      </c>
      <c r="C43" s="766" t="s">
        <v>333</v>
      </c>
      <c r="D43" s="766" t="s">
        <v>401</v>
      </c>
      <c r="E43" s="766"/>
      <c r="F43" s="757">
        <v>23386</v>
      </c>
      <c r="G43" s="278"/>
      <c r="H43" s="773">
        <v>2</v>
      </c>
      <c r="I43" s="773">
        <v>3</v>
      </c>
      <c r="J43" s="774"/>
      <c r="K43" s="773">
        <v>0</v>
      </c>
      <c r="L43" s="773">
        <v>0</v>
      </c>
      <c r="M43" s="773">
        <v>0</v>
      </c>
      <c r="N43" s="773">
        <v>4</v>
      </c>
      <c r="O43" s="773">
        <v>3</v>
      </c>
      <c r="P43" s="773">
        <v>1</v>
      </c>
      <c r="Q43" s="773">
        <v>3</v>
      </c>
      <c r="R43" s="773">
        <v>5</v>
      </c>
      <c r="S43" s="773">
        <v>8</v>
      </c>
      <c r="T43" s="773">
        <v>7</v>
      </c>
      <c r="U43" s="766"/>
      <c r="V43" s="766"/>
      <c r="W43" s="775">
        <v>402.2</v>
      </c>
      <c r="X43" s="775">
        <v>402.2</v>
      </c>
    </row>
    <row r="44" spans="1:24" ht="15.6">
      <c r="A44" s="755">
        <v>31</v>
      </c>
      <c r="B44" s="777" t="s">
        <v>334</v>
      </c>
      <c r="C44" s="766" t="s">
        <v>335</v>
      </c>
      <c r="D44" s="777" t="s">
        <v>403</v>
      </c>
      <c r="E44" s="777"/>
      <c r="F44" s="757">
        <v>27602</v>
      </c>
      <c r="G44" s="278"/>
      <c r="H44" s="773">
        <v>1</v>
      </c>
      <c r="I44" s="773">
        <v>0</v>
      </c>
      <c r="J44" s="779"/>
      <c r="K44" s="773">
        <v>2</v>
      </c>
      <c r="L44" s="773">
        <v>0</v>
      </c>
      <c r="M44" s="773">
        <v>1</v>
      </c>
      <c r="N44" s="773">
        <v>1</v>
      </c>
      <c r="O44" s="773">
        <v>3</v>
      </c>
      <c r="P44" s="773">
        <v>7</v>
      </c>
      <c r="Q44" s="773">
        <v>9</v>
      </c>
      <c r="R44" s="773">
        <v>0</v>
      </c>
      <c r="S44" s="773">
        <v>6</v>
      </c>
      <c r="T44" s="773">
        <v>2</v>
      </c>
      <c r="U44" s="762"/>
      <c r="V44" s="762"/>
      <c r="W44" s="775">
        <v>402.2</v>
      </c>
      <c r="X44" s="775">
        <v>402.2</v>
      </c>
    </row>
    <row r="45" spans="1:24" ht="15.6">
      <c r="A45" s="755">
        <v>32</v>
      </c>
      <c r="B45" s="777" t="s">
        <v>336</v>
      </c>
      <c r="C45" s="766" t="s">
        <v>337</v>
      </c>
      <c r="D45" s="777" t="s">
        <v>405</v>
      </c>
      <c r="E45" s="777"/>
      <c r="F45" s="757">
        <v>33486</v>
      </c>
      <c r="G45" s="278"/>
      <c r="H45" s="773">
        <v>1</v>
      </c>
      <c r="I45" s="773">
        <v>0</v>
      </c>
      <c r="J45" s="779"/>
      <c r="K45" s="773">
        <v>2</v>
      </c>
      <c r="L45" s="773">
        <v>0</v>
      </c>
      <c r="M45" s="773">
        <v>1</v>
      </c>
      <c r="N45" s="773">
        <v>7</v>
      </c>
      <c r="O45" s="773">
        <v>3</v>
      </c>
      <c r="P45" s="773">
        <v>9</v>
      </c>
      <c r="Q45" s="773">
        <v>5</v>
      </c>
      <c r="R45" s="773">
        <v>9</v>
      </c>
      <c r="S45" s="773">
        <v>6</v>
      </c>
      <c r="T45" s="778">
        <v>4</v>
      </c>
      <c r="U45" s="780"/>
      <c r="V45" s="780"/>
      <c r="W45" s="775">
        <v>427.1</v>
      </c>
      <c r="X45" s="775">
        <v>427.1</v>
      </c>
    </row>
    <row r="46" spans="1:24" ht="15.6">
      <c r="A46" s="755">
        <v>33</v>
      </c>
      <c r="B46" s="781" t="s">
        <v>338</v>
      </c>
      <c r="C46" s="780" t="s">
        <v>339</v>
      </c>
      <c r="D46" s="781" t="s">
        <v>364</v>
      </c>
      <c r="E46" s="781"/>
      <c r="F46" s="782">
        <v>24685</v>
      </c>
      <c r="G46" s="278"/>
      <c r="H46" s="778">
        <v>1</v>
      </c>
      <c r="I46" s="778">
        <v>0</v>
      </c>
      <c r="J46" s="779"/>
      <c r="K46" s="778">
        <v>0</v>
      </c>
      <c r="L46" s="778">
        <v>2</v>
      </c>
      <c r="M46" s="778">
        <v>5</v>
      </c>
      <c r="N46" s="778">
        <v>3</v>
      </c>
      <c r="O46" s="778">
        <v>8</v>
      </c>
      <c r="P46" s="778">
        <v>5</v>
      </c>
      <c r="Q46" s="778">
        <v>6</v>
      </c>
      <c r="R46" s="778">
        <v>9</v>
      </c>
      <c r="S46" s="778">
        <v>4</v>
      </c>
      <c r="T46" s="778">
        <v>1</v>
      </c>
      <c r="U46" s="780"/>
      <c r="V46" s="780"/>
      <c r="W46" s="783">
        <v>396.3</v>
      </c>
      <c r="X46" s="783">
        <v>396.3</v>
      </c>
    </row>
    <row r="47" spans="1:24" ht="15.6">
      <c r="A47" s="755">
        <v>34</v>
      </c>
      <c r="B47" s="784" t="s">
        <v>653</v>
      </c>
      <c r="C47" s="784" t="s">
        <v>654</v>
      </c>
      <c r="D47" s="784" t="s">
        <v>655</v>
      </c>
      <c r="E47" s="784"/>
      <c r="F47" s="785">
        <v>35227</v>
      </c>
      <c r="G47" s="278"/>
      <c r="H47" s="759">
        <v>1</v>
      </c>
      <c r="I47" s="759">
        <v>0</v>
      </c>
      <c r="J47" s="769"/>
      <c r="K47" s="759">
        <v>2</v>
      </c>
      <c r="L47" s="759">
        <v>0</v>
      </c>
      <c r="M47" s="759">
        <v>3</v>
      </c>
      <c r="N47" s="759">
        <v>1</v>
      </c>
      <c r="O47" s="759">
        <v>6</v>
      </c>
      <c r="P47" s="759">
        <v>9</v>
      </c>
      <c r="Q47" s="759">
        <v>2</v>
      </c>
      <c r="R47" s="759">
        <v>2</v>
      </c>
      <c r="S47" s="759">
        <v>5</v>
      </c>
      <c r="T47" s="759">
        <v>0</v>
      </c>
      <c r="U47" s="786"/>
      <c r="V47" s="786"/>
      <c r="W47" s="787">
        <v>1005.2</v>
      </c>
      <c r="X47" s="788">
        <v>1005.2</v>
      </c>
    </row>
    <row r="48" spans="1:24" ht="15.6">
      <c r="A48" s="755">
        <v>35</v>
      </c>
      <c r="B48" s="784" t="s">
        <v>656</v>
      </c>
      <c r="C48" s="784" t="s">
        <v>657</v>
      </c>
      <c r="D48" s="784" t="s">
        <v>658</v>
      </c>
      <c r="E48" s="784"/>
      <c r="F48" s="785">
        <v>35349</v>
      </c>
      <c r="G48" s="278"/>
      <c r="H48" s="759">
        <v>1</v>
      </c>
      <c r="I48" s="759">
        <v>0</v>
      </c>
      <c r="J48" s="769"/>
      <c r="K48" s="759">
        <v>2</v>
      </c>
      <c r="L48" s="759">
        <v>5</v>
      </c>
      <c r="M48" s="759">
        <v>3</v>
      </c>
      <c r="N48" s="759">
        <v>2</v>
      </c>
      <c r="O48" s="759">
        <v>3</v>
      </c>
      <c r="P48" s="759">
        <v>6</v>
      </c>
      <c r="Q48" s="759">
        <v>6</v>
      </c>
      <c r="R48" s="759">
        <v>0</v>
      </c>
      <c r="S48" s="759">
        <v>8</v>
      </c>
      <c r="T48" s="759">
        <v>6</v>
      </c>
      <c r="U48" s="786"/>
      <c r="V48" s="786"/>
      <c r="W48" s="787">
        <v>750.6</v>
      </c>
      <c r="X48" s="788">
        <v>750.6</v>
      </c>
    </row>
    <row r="49" spans="1:24" ht="15.6">
      <c r="A49" s="755">
        <v>36</v>
      </c>
      <c r="B49" s="784" t="s">
        <v>376</v>
      </c>
      <c r="C49" s="784" t="s">
        <v>659</v>
      </c>
      <c r="D49" s="784" t="s">
        <v>660</v>
      </c>
      <c r="E49" s="784"/>
      <c r="F49" s="785">
        <v>33073</v>
      </c>
      <c r="G49" s="278"/>
      <c r="H49" s="759">
        <v>0</v>
      </c>
      <c r="I49" s="759">
        <v>2</v>
      </c>
      <c r="J49" s="769"/>
      <c r="K49" s="759">
        <v>0</v>
      </c>
      <c r="L49" s="759">
        <v>2</v>
      </c>
      <c r="M49" s="759">
        <v>6</v>
      </c>
      <c r="N49" s="759">
        <v>5</v>
      </c>
      <c r="O49" s="759">
        <v>6</v>
      </c>
      <c r="P49" s="759">
        <v>4</v>
      </c>
      <c r="Q49" s="759">
        <v>7</v>
      </c>
      <c r="R49" s="759">
        <v>0</v>
      </c>
      <c r="S49" s="759">
        <v>8</v>
      </c>
      <c r="T49" s="759">
        <v>2</v>
      </c>
      <c r="U49" s="786"/>
      <c r="V49" s="786"/>
      <c r="W49" s="787">
        <v>1005.2</v>
      </c>
      <c r="X49" s="788">
        <v>1005.2</v>
      </c>
    </row>
    <row r="50" spans="1:24" ht="15.6">
      <c r="A50" s="789"/>
      <c r="B50" s="789"/>
      <c r="C50" s="789"/>
      <c r="D50" s="789"/>
      <c r="E50" s="789"/>
      <c r="F50" s="789"/>
      <c r="G50" s="790"/>
      <c r="H50" s="791"/>
      <c r="I50" s="789"/>
      <c r="J50" s="790"/>
      <c r="K50" s="789"/>
      <c r="L50" s="789"/>
      <c r="M50" s="789"/>
      <c r="N50" s="789"/>
      <c r="O50" s="789"/>
      <c r="P50" s="789"/>
      <c r="Q50" s="792" t="s">
        <v>273</v>
      </c>
      <c r="R50" s="791"/>
      <c r="S50" s="789"/>
      <c r="T50" s="790"/>
      <c r="U50" s="790"/>
      <c r="V50" s="790"/>
      <c r="W50" s="793">
        <f>SUM(W14:W49)</f>
        <v>37646.709999999992</v>
      </c>
      <c r="X50" s="794">
        <f>SUM(X14:X49)</f>
        <v>37646.789999999994</v>
      </c>
    </row>
    <row r="51" spans="1:24" ht="15.6">
      <c r="A51" s="278"/>
      <c r="B51" s="278"/>
      <c r="C51" s="278"/>
      <c r="D51" s="278"/>
      <c r="E51" s="278"/>
      <c r="F51" s="278"/>
      <c r="G51" s="278"/>
      <c r="H51" s="278"/>
      <c r="I51" s="278"/>
      <c r="J51" s="278"/>
      <c r="K51" s="278"/>
      <c r="L51" s="278"/>
      <c r="M51" s="278"/>
      <c r="N51" s="278"/>
      <c r="O51" s="278"/>
      <c r="P51" s="278"/>
      <c r="Q51" s="278"/>
      <c r="R51" s="278"/>
      <c r="S51" s="278"/>
      <c r="T51" s="278"/>
      <c r="U51" s="278"/>
      <c r="V51" s="278"/>
      <c r="W51" s="278"/>
      <c r="X51" s="278"/>
    </row>
    <row r="52" spans="1:24" ht="15.6">
      <c r="A52" s="278"/>
      <c r="B52" s="278"/>
      <c r="C52" s="278"/>
      <c r="D52" s="278"/>
      <c r="E52" s="278"/>
      <c r="F52" s="278"/>
      <c r="G52" s="278"/>
      <c r="H52" s="278"/>
      <c r="I52" s="278"/>
      <c r="J52" s="278"/>
      <c r="K52" s="278"/>
      <c r="L52" s="278"/>
      <c r="M52" s="278"/>
      <c r="N52" s="278"/>
      <c r="O52" s="278"/>
      <c r="P52" s="278"/>
      <c r="Q52" s="278"/>
      <c r="R52" s="278"/>
      <c r="S52" s="278"/>
      <c r="T52" s="278"/>
      <c r="U52" s="278"/>
      <c r="V52" s="278"/>
      <c r="W52" s="278"/>
      <c r="X52" s="278"/>
    </row>
    <row r="53" spans="1:24" ht="15.6">
      <c r="A53" s="278"/>
      <c r="B53" s="278"/>
      <c r="C53" s="795" t="s">
        <v>248</v>
      </c>
      <c r="D53" s="278"/>
      <c r="E53" s="278"/>
      <c r="F53" s="278"/>
      <c r="G53" s="278"/>
      <c r="H53" s="278"/>
      <c r="I53" s="278"/>
      <c r="J53" s="278"/>
      <c r="K53" s="795" t="s">
        <v>588</v>
      </c>
      <c r="L53" s="278"/>
      <c r="M53" s="278"/>
      <c r="N53" s="278"/>
      <c r="O53" s="278"/>
      <c r="P53" s="278"/>
      <c r="Q53" s="278"/>
      <c r="R53" s="278"/>
      <c r="S53" s="278"/>
      <c r="T53" s="278"/>
      <c r="U53" s="278"/>
      <c r="V53" s="278"/>
      <c r="W53" s="278"/>
      <c r="X53" s="278"/>
    </row>
    <row r="54" spans="1:24" ht="15.6">
      <c r="A54" s="278"/>
      <c r="B54" s="278"/>
      <c r="C54" s="278"/>
      <c r="D54" s="278"/>
      <c r="E54" s="278"/>
      <c r="F54" s="278"/>
      <c r="G54" s="278"/>
      <c r="H54" s="278"/>
      <c r="I54" s="278"/>
      <c r="J54" s="278"/>
      <c r="K54" s="278"/>
      <c r="L54" s="278"/>
      <c r="M54" s="278"/>
      <c r="N54" s="278"/>
      <c r="O54" s="278"/>
      <c r="P54" s="278"/>
      <c r="Q54" s="278"/>
      <c r="R54" s="278"/>
      <c r="S54" s="278"/>
      <c r="T54" s="278"/>
      <c r="U54" s="278"/>
      <c r="V54" s="278"/>
      <c r="W54" s="278"/>
      <c r="X54" s="278"/>
    </row>
    <row r="55" spans="1:24" ht="15.6">
      <c r="A55" s="278"/>
      <c r="B55" s="278"/>
      <c r="C55" s="278"/>
      <c r="D55" s="278"/>
      <c r="E55" s="278"/>
      <c r="F55" s="278"/>
      <c r="G55" s="278"/>
      <c r="H55" s="278"/>
      <c r="I55" s="278"/>
      <c r="J55" s="278"/>
      <c r="K55" s="278"/>
      <c r="L55" s="278"/>
      <c r="M55" s="278"/>
      <c r="N55" s="278"/>
      <c r="O55" s="278"/>
      <c r="P55" s="278"/>
      <c r="Q55" s="278"/>
      <c r="R55" s="278"/>
      <c r="S55" s="278"/>
      <c r="T55" s="278"/>
      <c r="U55" s="278"/>
      <c r="V55" s="278"/>
      <c r="W55" s="278"/>
      <c r="X55" s="278"/>
    </row>
    <row r="56" spans="1:24" ht="15.6">
      <c r="A56" s="278"/>
      <c r="B56" s="278"/>
      <c r="C56" s="795" t="s">
        <v>173</v>
      </c>
      <c r="D56" s="278"/>
      <c r="E56" s="278"/>
      <c r="F56" s="278"/>
      <c r="G56" s="278"/>
      <c r="H56" s="278"/>
      <c r="I56" s="278"/>
      <c r="J56" s="278"/>
      <c r="K56" s="795" t="s">
        <v>42</v>
      </c>
      <c r="L56" s="278"/>
      <c r="M56" s="278"/>
      <c r="N56" s="278"/>
      <c r="O56" s="278"/>
      <c r="P56" s="278"/>
      <c r="Q56" s="278"/>
      <c r="R56" s="278"/>
      <c r="S56" s="278"/>
      <c r="T56" s="278"/>
      <c r="U56" s="278"/>
      <c r="V56" s="278"/>
      <c r="W56" s="278"/>
      <c r="X56" s="278"/>
    </row>
    <row r="57" spans="1:24" ht="15.6">
      <c r="A57" s="278"/>
      <c r="B57" s="278"/>
      <c r="C57" s="278" t="s">
        <v>284</v>
      </c>
      <c r="D57" s="278"/>
      <c r="E57" s="278"/>
      <c r="F57" s="278"/>
      <c r="G57" s="278"/>
      <c r="H57" s="278"/>
      <c r="I57" s="278"/>
      <c r="J57" s="278"/>
      <c r="K57" s="278" t="s">
        <v>261</v>
      </c>
      <c r="L57" s="278"/>
      <c r="M57" s="278"/>
      <c r="N57" s="278"/>
      <c r="O57" s="278"/>
      <c r="P57" s="278"/>
      <c r="Q57" s="278"/>
      <c r="R57" s="278"/>
      <c r="S57" s="278"/>
      <c r="T57" s="278"/>
      <c r="U57" s="278"/>
      <c r="V57" s="278"/>
      <c r="W57" s="278"/>
      <c r="X57" s="278"/>
    </row>
    <row r="58" spans="1:24" ht="13.8">
      <c r="A58" s="6"/>
      <c r="B58" s="6"/>
      <c r="C58" s="6"/>
      <c r="D58" s="6"/>
      <c r="E58" s="6"/>
      <c r="F58" s="6"/>
      <c r="G58" s="6"/>
      <c r="H58" s="6"/>
      <c r="I58" s="6"/>
      <c r="J58" s="6"/>
      <c r="K58" s="6"/>
      <c r="L58" s="6"/>
      <c r="M58" s="6"/>
      <c r="N58" s="6"/>
      <c r="O58" s="6"/>
      <c r="P58" s="6"/>
      <c r="Q58" s="604"/>
      <c r="R58" s="6"/>
      <c r="S58" s="6"/>
      <c r="T58" s="6"/>
      <c r="U58" s="6"/>
      <c r="V58" s="6"/>
      <c r="W58" s="6"/>
      <c r="X58" s="6"/>
    </row>
    <row r="59" spans="1:24" ht="13.8">
      <c r="A59" s="6"/>
      <c r="B59" s="6"/>
      <c r="C59" s="6"/>
      <c r="D59" s="6"/>
      <c r="E59" s="6"/>
      <c r="F59" s="6"/>
      <c r="G59" s="6"/>
      <c r="H59" s="6"/>
      <c r="I59" s="6"/>
      <c r="J59" s="6"/>
      <c r="K59" s="6"/>
      <c r="L59" s="6"/>
      <c r="M59" s="6"/>
      <c r="N59" s="6"/>
      <c r="O59" s="6"/>
      <c r="P59" s="6"/>
      <c r="Q59" s="604"/>
      <c r="R59" s="6"/>
      <c r="S59" s="6"/>
      <c r="T59" s="6"/>
      <c r="U59" s="6"/>
      <c r="V59" s="6"/>
      <c r="W59" s="6"/>
      <c r="X59" s="6"/>
    </row>
    <row r="60" spans="1:24" ht="13.8">
      <c r="A60" s="6"/>
      <c r="B60" s="6"/>
      <c r="C60" s="6"/>
      <c r="D60" s="6"/>
      <c r="E60" s="6"/>
      <c r="F60" s="6"/>
      <c r="G60" s="6"/>
      <c r="H60" s="6"/>
      <c r="I60" s="6"/>
      <c r="J60" s="6"/>
      <c r="K60" s="6"/>
      <c r="L60" s="6"/>
      <c r="M60" s="6"/>
      <c r="N60" s="6"/>
      <c r="O60" s="6"/>
      <c r="P60" s="6"/>
      <c r="Q60" s="604"/>
      <c r="R60" s="6"/>
      <c r="S60" s="6"/>
      <c r="T60" s="6"/>
      <c r="U60" s="6"/>
      <c r="V60" s="6"/>
      <c r="W60" s="6"/>
      <c r="X60" s="6"/>
    </row>
    <row r="61" spans="1:24" ht="13.8">
      <c r="A61" s="6"/>
      <c r="B61" s="6"/>
      <c r="C61" s="6"/>
      <c r="D61" s="6"/>
      <c r="E61" s="6"/>
      <c r="F61" s="6"/>
      <c r="G61" s="6"/>
      <c r="H61" s="6"/>
      <c r="I61" s="6"/>
      <c r="J61" s="6"/>
      <c r="K61" s="6"/>
      <c r="L61" s="6"/>
      <c r="M61" s="6"/>
      <c r="N61" s="6"/>
      <c r="O61" s="6"/>
      <c r="P61" s="6"/>
      <c r="Q61" s="604"/>
      <c r="R61" s="6"/>
      <c r="S61" s="6"/>
      <c r="T61" s="6"/>
      <c r="U61" s="6"/>
      <c r="V61" s="6"/>
      <c r="W61" s="6"/>
      <c r="X61" s="6"/>
    </row>
    <row r="62" spans="1:24" ht="13.8">
      <c r="A62" s="6"/>
      <c r="B62" s="6"/>
      <c r="C62" s="6"/>
      <c r="D62" s="6"/>
      <c r="E62" s="6"/>
      <c r="F62" s="6"/>
      <c r="G62" s="6"/>
      <c r="H62" s="6"/>
      <c r="I62" s="6"/>
      <c r="J62" s="6"/>
      <c r="K62" s="6"/>
      <c r="L62" s="6"/>
      <c r="M62" s="6"/>
      <c r="N62" s="6"/>
      <c r="O62" s="6"/>
      <c r="P62" s="6"/>
      <c r="Q62" s="604"/>
      <c r="R62" s="6"/>
      <c r="S62" s="6"/>
      <c r="T62" s="6"/>
      <c r="U62" s="6"/>
      <c r="V62" s="6"/>
      <c r="W62" s="6"/>
      <c r="X62" s="6"/>
    </row>
    <row r="63" spans="1:24" ht="13.8">
      <c r="A63" s="6"/>
      <c r="B63" s="6"/>
      <c r="C63" s="6"/>
      <c r="D63" s="6"/>
      <c r="E63" s="6"/>
      <c r="F63" s="6"/>
      <c r="G63" s="6"/>
      <c r="H63" s="6"/>
      <c r="I63" s="6"/>
      <c r="J63" s="6"/>
      <c r="K63" s="6"/>
      <c r="L63" s="6"/>
      <c r="M63" s="6"/>
      <c r="N63" s="6"/>
      <c r="O63" s="6"/>
      <c r="P63" s="6"/>
      <c r="Q63" s="604"/>
      <c r="R63" s="6"/>
      <c r="S63" s="6"/>
      <c r="T63" s="6"/>
      <c r="U63" s="6"/>
      <c r="V63" s="6"/>
      <c r="W63" s="6"/>
      <c r="X63" s="6"/>
    </row>
    <row r="64" spans="1:24" ht="13.8">
      <c r="A64" s="6"/>
      <c r="B64" s="6"/>
      <c r="C64" s="6"/>
      <c r="D64" s="6"/>
      <c r="E64" s="6"/>
      <c r="F64" s="6"/>
      <c r="G64" s="6"/>
      <c r="H64" s="6"/>
      <c r="I64" s="6"/>
      <c r="J64" s="6"/>
      <c r="K64" s="6"/>
      <c r="L64" s="6"/>
      <c r="M64" s="6"/>
      <c r="N64" s="6"/>
      <c r="O64" s="6"/>
      <c r="P64" s="6"/>
      <c r="Q64" s="604"/>
      <c r="R64" s="6"/>
      <c r="S64" s="6"/>
      <c r="T64" s="6"/>
      <c r="U64" s="6"/>
      <c r="V64" s="6"/>
      <c r="W64" s="6"/>
      <c r="X64" s="6"/>
    </row>
    <row r="65" spans="1:24" ht="13.8">
      <c r="A65" s="6"/>
      <c r="B65" s="6"/>
      <c r="C65" s="6"/>
      <c r="D65" s="6"/>
      <c r="E65" s="6"/>
      <c r="F65" s="6"/>
      <c r="G65" s="6"/>
      <c r="H65" s="6"/>
      <c r="I65" s="6"/>
      <c r="J65" s="6"/>
      <c r="K65" s="6"/>
      <c r="L65" s="6"/>
      <c r="M65" s="6"/>
      <c r="N65" s="6"/>
      <c r="O65" s="6"/>
      <c r="P65" s="6"/>
      <c r="Q65" s="604"/>
      <c r="R65" s="6"/>
      <c r="S65" s="6"/>
      <c r="T65" s="6"/>
      <c r="U65" s="6"/>
      <c r="V65" s="6"/>
      <c r="W65" s="6"/>
      <c r="X65" s="6"/>
    </row>
    <row r="66" spans="1:24" ht="13.8">
      <c r="A66" s="6"/>
      <c r="B66" s="6"/>
      <c r="C66" s="6"/>
      <c r="D66" s="6"/>
      <c r="E66" s="6"/>
      <c r="F66" s="6"/>
      <c r="G66" s="6"/>
      <c r="H66" s="6"/>
      <c r="I66" s="6"/>
      <c r="J66" s="6"/>
      <c r="K66" s="6"/>
      <c r="L66" s="6"/>
      <c r="M66" s="6"/>
      <c r="N66" s="6"/>
      <c r="O66" s="6"/>
      <c r="P66" s="6"/>
      <c r="Q66" s="604"/>
      <c r="R66" s="6"/>
      <c r="S66" s="6"/>
      <c r="T66" s="6"/>
      <c r="U66" s="6"/>
      <c r="V66" s="6"/>
      <c r="W66" s="6"/>
      <c r="X66" s="6"/>
    </row>
    <row r="67" spans="1:24" ht="13.8">
      <c r="A67" s="6"/>
      <c r="B67" s="6"/>
      <c r="C67" s="6"/>
      <c r="D67" s="6"/>
      <c r="E67" s="6"/>
      <c r="F67" s="6"/>
      <c r="G67" s="6"/>
      <c r="H67" s="6"/>
      <c r="I67" s="6"/>
      <c r="J67" s="6"/>
      <c r="K67" s="6"/>
      <c r="L67" s="6"/>
      <c r="M67" s="6"/>
      <c r="N67" s="6"/>
      <c r="O67" s="6"/>
      <c r="P67" s="6"/>
      <c r="Q67" s="604"/>
      <c r="R67" s="6"/>
      <c r="S67" s="6"/>
      <c r="T67" s="6"/>
      <c r="U67" s="6"/>
      <c r="V67" s="6"/>
      <c r="W67" s="6"/>
      <c r="X67" s="6"/>
    </row>
    <row r="68" spans="1:24" ht="13.8">
      <c r="A68" s="6"/>
      <c r="B68" s="6"/>
      <c r="C68" s="6"/>
      <c r="D68" s="6"/>
      <c r="E68" s="6"/>
      <c r="F68" s="6"/>
      <c r="G68" s="6"/>
      <c r="H68" s="6"/>
      <c r="I68" s="6"/>
      <c r="J68" s="6"/>
      <c r="K68" s="6"/>
      <c r="L68" s="6"/>
      <c r="M68" s="6"/>
      <c r="N68" s="6"/>
      <c r="O68" s="6"/>
      <c r="P68" s="6"/>
      <c r="Q68" s="604"/>
      <c r="R68" s="6"/>
      <c r="S68" s="6"/>
      <c r="T68" s="6"/>
      <c r="U68" s="6"/>
      <c r="V68" s="6"/>
      <c r="W68" s="6"/>
      <c r="X68" s="6"/>
    </row>
    <row r="69" spans="1:24" ht="13.8">
      <c r="A69" s="6"/>
      <c r="B69" s="6"/>
      <c r="C69" s="6"/>
      <c r="D69" s="6"/>
      <c r="E69" s="6"/>
      <c r="F69" s="6"/>
      <c r="G69" s="6"/>
      <c r="H69" s="6"/>
      <c r="I69" s="6"/>
      <c r="J69" s="6"/>
      <c r="K69" s="6"/>
      <c r="L69" s="6"/>
      <c r="M69" s="6"/>
      <c r="N69" s="6"/>
      <c r="O69" s="6"/>
      <c r="P69" s="6"/>
      <c r="Q69" s="604"/>
      <c r="R69" s="6"/>
      <c r="S69" s="6"/>
      <c r="T69" s="6"/>
      <c r="U69" s="6"/>
      <c r="V69" s="6"/>
      <c r="W69" s="6"/>
      <c r="X69" s="6"/>
    </row>
    <row r="70" spans="1:24" ht="13.8">
      <c r="A70" s="6"/>
      <c r="B70" s="6"/>
      <c r="C70" s="6"/>
      <c r="D70" s="6"/>
      <c r="E70" s="6"/>
      <c r="F70" s="6"/>
      <c r="G70" s="6"/>
      <c r="H70" s="6"/>
      <c r="I70" s="6"/>
      <c r="J70" s="6"/>
      <c r="K70" s="6"/>
      <c r="L70" s="6"/>
      <c r="M70" s="6"/>
      <c r="N70" s="6"/>
      <c r="O70" s="6"/>
      <c r="P70" s="6"/>
      <c r="Q70" s="604"/>
      <c r="R70" s="6"/>
      <c r="S70" s="6"/>
      <c r="T70" s="6"/>
      <c r="U70" s="6"/>
      <c r="V70" s="6"/>
      <c r="W70" s="6"/>
      <c r="X70" s="6"/>
    </row>
    <row r="71" spans="1:24" ht="13.8">
      <c r="A71" s="6"/>
      <c r="B71" s="6"/>
      <c r="C71" s="6"/>
      <c r="D71" s="6"/>
      <c r="E71" s="6"/>
      <c r="F71" s="6"/>
      <c r="G71" s="6"/>
      <c r="H71" s="6"/>
      <c r="I71" s="6"/>
      <c r="J71" s="6"/>
      <c r="K71" s="6"/>
      <c r="L71" s="6"/>
      <c r="M71" s="6"/>
      <c r="N71" s="6"/>
      <c r="O71" s="6"/>
      <c r="P71" s="6"/>
      <c r="Q71" s="604"/>
      <c r="R71" s="6"/>
      <c r="S71" s="6"/>
      <c r="T71" s="6"/>
      <c r="U71" s="6"/>
      <c r="V71" s="6"/>
      <c r="W71" s="6"/>
      <c r="X71" s="6"/>
    </row>
    <row r="72" spans="1:24" ht="13.8">
      <c r="A72" s="6"/>
      <c r="B72" s="6"/>
      <c r="C72" s="6"/>
      <c r="D72" s="6"/>
      <c r="E72" s="6"/>
      <c r="F72" s="6"/>
      <c r="G72" s="6"/>
      <c r="H72" s="6"/>
      <c r="I72" s="6"/>
      <c r="J72" s="6"/>
      <c r="K72" s="6"/>
      <c r="L72" s="6"/>
      <c r="M72" s="6"/>
      <c r="N72" s="6"/>
      <c r="O72" s="6"/>
      <c r="P72" s="6"/>
      <c r="Q72" s="604"/>
      <c r="R72" s="6"/>
      <c r="S72" s="6"/>
      <c r="T72" s="6"/>
      <c r="U72" s="6"/>
      <c r="V72" s="6"/>
      <c r="W72" s="6"/>
      <c r="X72" s="6"/>
    </row>
    <row r="73" spans="1:24" ht="13.8">
      <c r="A73" s="6"/>
      <c r="B73" s="6"/>
      <c r="C73" s="6"/>
      <c r="D73" s="6"/>
      <c r="E73" s="6"/>
      <c r="F73" s="6"/>
      <c r="G73" s="6"/>
      <c r="H73" s="6"/>
      <c r="I73" s="6"/>
      <c r="J73" s="6"/>
      <c r="K73" s="6"/>
      <c r="L73" s="6"/>
      <c r="M73" s="6"/>
      <c r="N73" s="6"/>
      <c r="O73" s="6"/>
      <c r="P73" s="6"/>
      <c r="Q73" s="604"/>
      <c r="R73" s="6"/>
      <c r="S73" s="6"/>
      <c r="T73" s="6"/>
      <c r="U73" s="6"/>
      <c r="V73" s="6"/>
      <c r="W73" s="6"/>
      <c r="X73" s="6"/>
    </row>
    <row r="74" spans="1:24" ht="13.8">
      <c r="A74" s="6"/>
      <c r="B74" s="6"/>
      <c r="C74" s="6"/>
      <c r="D74" s="6"/>
      <c r="E74" s="6"/>
      <c r="F74" s="6"/>
      <c r="G74" s="6"/>
      <c r="H74" s="6"/>
      <c r="I74" s="6"/>
      <c r="J74" s="6"/>
      <c r="K74" s="6"/>
      <c r="L74" s="6"/>
      <c r="M74" s="6"/>
      <c r="N74" s="6"/>
      <c r="O74" s="6"/>
      <c r="P74" s="6"/>
      <c r="Q74" s="604"/>
      <c r="R74" s="6"/>
      <c r="S74" s="6"/>
      <c r="T74" s="6"/>
      <c r="U74" s="6"/>
      <c r="V74" s="6"/>
      <c r="W74" s="6"/>
      <c r="X74" s="6"/>
    </row>
    <row r="75" spans="1:24" ht="13.8">
      <c r="A75" s="6"/>
      <c r="B75" s="6"/>
      <c r="C75" s="6"/>
      <c r="D75" s="6"/>
      <c r="E75" s="6"/>
      <c r="F75" s="6"/>
      <c r="G75" s="6"/>
      <c r="H75" s="6"/>
      <c r="I75" s="6"/>
      <c r="J75" s="6"/>
      <c r="K75" s="6"/>
      <c r="L75" s="6"/>
      <c r="M75" s="6"/>
      <c r="N75" s="6"/>
      <c r="O75" s="6"/>
      <c r="P75" s="6"/>
      <c r="Q75" s="604"/>
      <c r="R75" s="6"/>
      <c r="S75" s="6"/>
      <c r="T75" s="6"/>
      <c r="U75" s="6"/>
      <c r="V75" s="6"/>
      <c r="W75" s="6"/>
      <c r="X75" s="6"/>
    </row>
    <row r="76" spans="1:24" ht="13.8">
      <c r="A76" s="6"/>
      <c r="B76" s="6"/>
      <c r="C76" s="6"/>
      <c r="D76" s="6"/>
      <c r="E76" s="6"/>
      <c r="F76" s="6"/>
      <c r="G76" s="6"/>
      <c r="H76" s="6"/>
      <c r="I76" s="6"/>
      <c r="J76" s="6"/>
      <c r="K76" s="6"/>
      <c r="L76" s="6"/>
      <c r="M76" s="6"/>
      <c r="N76" s="6"/>
      <c r="O76" s="6"/>
      <c r="P76" s="6"/>
      <c r="Q76" s="604"/>
      <c r="R76" s="6"/>
      <c r="S76" s="6"/>
      <c r="T76" s="6"/>
      <c r="U76" s="6"/>
      <c r="V76" s="6"/>
      <c r="W76" s="6"/>
      <c r="X76" s="6"/>
    </row>
    <row r="77" spans="1:24" ht="13.8">
      <c r="A77" s="6"/>
      <c r="B77" s="6"/>
      <c r="C77" s="6"/>
      <c r="D77" s="6"/>
      <c r="E77" s="6"/>
      <c r="F77" s="6"/>
      <c r="G77" s="6"/>
      <c r="H77" s="6"/>
      <c r="I77" s="6"/>
      <c r="J77" s="6"/>
      <c r="K77" s="6"/>
      <c r="L77" s="6"/>
      <c r="M77" s="6"/>
      <c r="N77" s="6"/>
      <c r="O77" s="6"/>
      <c r="P77" s="6"/>
      <c r="Q77" s="604"/>
      <c r="R77" s="6"/>
      <c r="S77" s="6"/>
      <c r="T77" s="6"/>
      <c r="U77" s="6"/>
      <c r="V77" s="6"/>
      <c r="W77" s="6"/>
      <c r="X77" s="6"/>
    </row>
    <row r="78" spans="1:24" ht="13.8">
      <c r="A78" s="6"/>
      <c r="B78" s="6"/>
      <c r="C78" s="6"/>
      <c r="D78" s="6"/>
      <c r="E78" s="6"/>
      <c r="F78" s="6"/>
      <c r="G78" s="6"/>
      <c r="H78" s="6"/>
      <c r="I78" s="6"/>
      <c r="J78" s="6"/>
      <c r="K78" s="6"/>
      <c r="L78" s="6"/>
      <c r="M78" s="6"/>
      <c r="N78" s="6"/>
      <c r="O78" s="6"/>
      <c r="P78" s="6"/>
      <c r="Q78" s="604"/>
      <c r="R78" s="6"/>
      <c r="S78" s="6"/>
      <c r="T78" s="6"/>
      <c r="U78" s="6"/>
      <c r="V78" s="6"/>
      <c r="W78" s="6"/>
      <c r="X78" s="6"/>
    </row>
    <row r="79" spans="1:24" ht="13.8">
      <c r="A79" s="6"/>
      <c r="B79" s="6"/>
      <c r="C79" s="6"/>
      <c r="D79" s="6"/>
      <c r="E79" s="6"/>
      <c r="F79" s="6"/>
      <c r="G79" s="6"/>
      <c r="H79" s="6"/>
      <c r="I79" s="6"/>
      <c r="J79" s="6"/>
      <c r="K79" s="6"/>
      <c r="L79" s="6"/>
      <c r="M79" s="6"/>
      <c r="N79" s="6"/>
      <c r="O79" s="6"/>
      <c r="P79" s="6"/>
      <c r="Q79" s="604"/>
      <c r="R79" s="6"/>
      <c r="S79" s="6"/>
      <c r="T79" s="6"/>
      <c r="U79" s="6"/>
      <c r="V79" s="6"/>
      <c r="W79" s="6"/>
      <c r="X79" s="6"/>
    </row>
    <row r="80" spans="1:24" ht="13.8">
      <c r="A80" s="6"/>
      <c r="B80" s="6"/>
      <c r="C80" s="6"/>
      <c r="D80" s="6"/>
      <c r="E80" s="6"/>
      <c r="F80" s="6"/>
      <c r="G80" s="6"/>
      <c r="H80" s="6"/>
      <c r="I80" s="6"/>
      <c r="J80" s="6"/>
      <c r="K80" s="6"/>
      <c r="L80" s="6"/>
      <c r="M80" s="6"/>
      <c r="N80" s="6"/>
      <c r="O80" s="6"/>
      <c r="P80" s="6"/>
      <c r="Q80" s="604"/>
      <c r="R80" s="6"/>
      <c r="S80" s="6"/>
      <c r="T80" s="6"/>
      <c r="U80" s="6"/>
      <c r="V80" s="6"/>
      <c r="W80" s="6"/>
      <c r="X80" s="6"/>
    </row>
    <row r="81" spans="1:24" ht="13.8">
      <c r="A81" s="6"/>
      <c r="B81" s="6"/>
      <c r="C81" s="6"/>
      <c r="D81" s="6"/>
      <c r="E81" s="6"/>
      <c r="F81" s="6"/>
      <c r="G81" s="6"/>
      <c r="H81" s="6"/>
      <c r="I81" s="6"/>
      <c r="J81" s="6"/>
      <c r="K81" s="6"/>
      <c r="L81" s="6"/>
      <c r="M81" s="6"/>
      <c r="N81" s="6"/>
      <c r="O81" s="6"/>
      <c r="P81" s="6"/>
      <c r="Q81" s="604"/>
      <c r="R81" s="6"/>
      <c r="S81" s="6"/>
      <c r="T81" s="6"/>
      <c r="U81" s="6"/>
      <c r="V81" s="6"/>
      <c r="W81" s="6"/>
      <c r="X81" s="6"/>
    </row>
    <row r="86" spans="1:24" ht="15.6">
      <c r="D86" s="6"/>
      <c r="E86" s="6"/>
      <c r="F86" s="603"/>
      <c r="G86" s="603"/>
      <c r="H86" s="603"/>
      <c r="I86" s="603"/>
      <c r="J86" s="603"/>
      <c r="K86" s="603"/>
      <c r="L86" s="603"/>
      <c r="M86" s="603"/>
    </row>
    <row r="87" spans="1:24" ht="15.6">
      <c r="D87" s="6"/>
      <c r="E87" s="6"/>
      <c r="F87" s="603"/>
      <c r="G87" s="603"/>
      <c r="H87" s="603"/>
      <c r="I87" s="603"/>
      <c r="J87" s="603"/>
      <c r="K87" s="603"/>
      <c r="L87" s="603"/>
      <c r="M87" s="603"/>
    </row>
    <row r="88" spans="1:24" ht="15.6">
      <c r="D88" s="606"/>
      <c r="E88" s="606"/>
      <c r="F88" s="605"/>
      <c r="G88" s="605"/>
      <c r="H88" s="605"/>
      <c r="I88" s="605"/>
      <c r="J88" s="605"/>
      <c r="K88" s="605"/>
      <c r="L88" s="605"/>
      <c r="M88" s="605"/>
    </row>
    <row r="89" spans="1:24" ht="15.6">
      <c r="D89" s="6"/>
      <c r="E89" s="6"/>
      <c r="F89" s="603"/>
      <c r="G89" s="603"/>
      <c r="H89" s="603"/>
      <c r="I89" s="603"/>
      <c r="J89" s="603"/>
      <c r="K89" s="603"/>
      <c r="L89" s="603"/>
      <c r="M89" s="603"/>
    </row>
    <row r="90" spans="1:24" ht="13.8">
      <c r="D90" s="6"/>
      <c r="E90" s="6"/>
      <c r="F90" s="6"/>
      <c r="G90" s="6"/>
      <c r="H90" s="6"/>
      <c r="I90" s="6"/>
      <c r="J90" s="6"/>
      <c r="K90" s="6"/>
      <c r="L90" s="6"/>
      <c r="M90" s="6"/>
    </row>
    <row r="91" spans="1:24" ht="15.6">
      <c r="D91" s="605"/>
      <c r="E91" s="605"/>
      <c r="F91" s="605"/>
      <c r="G91" s="605"/>
      <c r="H91" s="605"/>
      <c r="I91" s="605"/>
      <c r="J91" s="605"/>
      <c r="K91" s="605"/>
      <c r="L91" s="605"/>
      <c r="M91" s="605"/>
    </row>
    <row r="92" spans="1:24" ht="15.6">
      <c r="D92" s="603"/>
      <c r="E92" s="603"/>
      <c r="F92" s="603"/>
      <c r="G92" s="603"/>
      <c r="H92" s="603"/>
      <c r="I92" s="603"/>
      <c r="J92" s="603"/>
      <c r="K92" s="603"/>
      <c r="L92" s="603"/>
      <c r="M92" s="603"/>
    </row>
    <row r="93" spans="1:24" ht="15.6">
      <c r="D93" s="603"/>
      <c r="E93" s="603"/>
      <c r="F93" s="603"/>
      <c r="G93" s="603"/>
      <c r="H93" s="603"/>
      <c r="I93" s="603"/>
      <c r="J93" s="603"/>
      <c r="K93" s="603"/>
      <c r="L93" s="603"/>
      <c r="M93" s="603"/>
    </row>
    <row r="94" spans="1:24" ht="15.6">
      <c r="A94" s="610"/>
      <c r="B94" s="617"/>
      <c r="C94" s="612"/>
      <c r="D94" s="614"/>
      <c r="E94" s="615"/>
      <c r="F94" s="1218"/>
      <c r="G94" s="609"/>
      <c r="H94" s="1220"/>
      <c r="I94" s="1220"/>
      <c r="J94" s="1220"/>
      <c r="K94" s="1220"/>
      <c r="L94" s="1220"/>
      <c r="M94" s="1220"/>
      <c r="N94" s="1220"/>
      <c r="O94" s="1220"/>
      <c r="P94" s="1220"/>
      <c r="Q94" s="1220"/>
      <c r="R94" s="1220"/>
      <c r="S94" s="1220"/>
      <c r="T94" s="1221"/>
      <c r="U94" s="609"/>
      <c r="V94" s="3"/>
      <c r="W94" s="4"/>
      <c r="X94" s="612"/>
    </row>
    <row r="95" spans="1:24" ht="13.8">
      <c r="A95" s="611"/>
      <c r="B95" s="618"/>
      <c r="C95" s="616"/>
      <c r="D95" s="616"/>
      <c r="E95" s="613"/>
      <c r="F95" s="1219"/>
      <c r="G95" s="15"/>
      <c r="H95" s="1222"/>
      <c r="I95" s="1222"/>
      <c r="J95" s="1222"/>
      <c r="K95" s="1222"/>
      <c r="L95" s="1222"/>
      <c r="M95" s="1222"/>
      <c r="N95" s="1222"/>
      <c r="O95" s="1222"/>
      <c r="P95" s="1222"/>
      <c r="Q95" s="1222"/>
      <c r="R95" s="1222"/>
      <c r="S95" s="1222"/>
      <c r="T95" s="1223"/>
      <c r="U95" s="15"/>
      <c r="V95" s="15"/>
      <c r="W95" s="618"/>
      <c r="X95" s="616"/>
    </row>
    <row r="96" spans="1:24" ht="13.8">
      <c r="A96" s="26"/>
      <c r="B96" s="27"/>
      <c r="C96" s="31"/>
      <c r="D96" s="31"/>
      <c r="E96" s="31"/>
      <c r="F96" s="31"/>
      <c r="G96" s="29"/>
      <c r="H96" s="30"/>
      <c r="I96" s="30"/>
      <c r="J96" s="38"/>
      <c r="K96" s="30"/>
      <c r="L96" s="30"/>
      <c r="M96" s="30"/>
      <c r="N96" s="30"/>
      <c r="O96" s="30"/>
      <c r="P96" s="30"/>
      <c r="Q96" s="30"/>
      <c r="R96" s="30"/>
      <c r="S96" s="30"/>
      <c r="T96" s="30"/>
      <c r="U96" s="28"/>
      <c r="V96" s="28"/>
      <c r="W96" s="45"/>
      <c r="X96" s="45"/>
    </row>
    <row r="97" spans="1:24" ht="13.8">
      <c r="A97" s="26"/>
      <c r="B97" s="27"/>
      <c r="C97" s="31"/>
      <c r="D97" s="31"/>
      <c r="E97" s="31"/>
      <c r="F97" s="31"/>
      <c r="G97" s="29"/>
      <c r="H97" s="30"/>
      <c r="I97" s="30"/>
      <c r="J97" s="39"/>
      <c r="K97" s="30"/>
      <c r="L97" s="30"/>
      <c r="M97" s="30"/>
      <c r="N97" s="30"/>
      <c r="O97" s="30"/>
      <c r="P97" s="30"/>
      <c r="Q97" s="30"/>
      <c r="R97" s="30"/>
      <c r="S97" s="30"/>
      <c r="T97" s="30"/>
      <c r="U97" s="28"/>
      <c r="V97" s="28"/>
      <c r="W97" s="45"/>
      <c r="X97" s="45"/>
    </row>
    <row r="98" spans="1:24" ht="13.8">
      <c r="A98" s="26"/>
      <c r="B98" s="27"/>
      <c r="C98" s="31"/>
      <c r="D98" s="31"/>
      <c r="E98" s="32"/>
      <c r="F98" s="32"/>
      <c r="G98" s="29"/>
      <c r="H98" s="30"/>
      <c r="I98" s="30"/>
      <c r="J98" s="38"/>
      <c r="K98" s="30"/>
      <c r="L98" s="30"/>
      <c r="M98" s="30"/>
      <c r="N98" s="30"/>
      <c r="O98" s="30"/>
      <c r="P98" s="30"/>
      <c r="Q98" s="30"/>
      <c r="R98" s="30"/>
      <c r="S98" s="30"/>
      <c r="T98" s="30"/>
      <c r="U98" s="28"/>
      <c r="V98" s="28"/>
      <c r="W98" s="45"/>
      <c r="X98" s="45"/>
    </row>
    <row r="99" spans="1:24" ht="13.8">
      <c r="A99" s="26"/>
      <c r="B99" s="27"/>
      <c r="C99" s="31"/>
      <c r="D99" s="31"/>
      <c r="E99" s="31"/>
      <c r="F99" s="31"/>
      <c r="G99" s="29"/>
      <c r="H99" s="30"/>
      <c r="I99" s="30"/>
      <c r="J99" s="39"/>
      <c r="K99" s="30"/>
      <c r="L99" s="30"/>
      <c r="M99" s="30"/>
      <c r="N99" s="30"/>
      <c r="O99" s="30"/>
      <c r="P99" s="30"/>
      <c r="Q99" s="30"/>
      <c r="R99" s="30"/>
      <c r="S99" s="30"/>
      <c r="T99" s="30"/>
      <c r="U99" s="28"/>
      <c r="V99" s="28"/>
      <c r="W99" s="45"/>
      <c r="X99" s="45"/>
    </row>
    <row r="100" spans="1:24" ht="13.8">
      <c r="A100" s="26"/>
      <c r="B100" s="27"/>
      <c r="C100" s="31"/>
      <c r="D100" s="31"/>
      <c r="E100" s="31"/>
      <c r="F100" s="31"/>
      <c r="G100" s="29"/>
      <c r="H100" s="30"/>
      <c r="I100" s="30"/>
      <c r="J100" s="39"/>
      <c r="K100" s="30"/>
      <c r="L100" s="30"/>
      <c r="M100" s="30"/>
      <c r="N100" s="30"/>
      <c r="O100" s="30"/>
      <c r="P100" s="30"/>
      <c r="Q100" s="30"/>
      <c r="R100" s="30"/>
      <c r="S100" s="30"/>
      <c r="T100" s="30"/>
      <c r="U100" s="28"/>
      <c r="V100" s="28"/>
      <c r="W100" s="45"/>
      <c r="X100" s="45"/>
    </row>
    <row r="101" spans="1:24" ht="13.8">
      <c r="A101" s="26"/>
      <c r="B101" s="27"/>
      <c r="C101" s="31"/>
      <c r="D101" s="31"/>
      <c r="E101" s="31"/>
      <c r="F101" s="31"/>
      <c r="G101" s="29"/>
      <c r="H101" s="30"/>
      <c r="I101" s="30"/>
      <c r="J101" s="39"/>
      <c r="K101" s="30"/>
      <c r="L101" s="30"/>
      <c r="M101" s="30"/>
      <c r="N101" s="30"/>
      <c r="O101" s="30"/>
      <c r="P101" s="30"/>
      <c r="Q101" s="30"/>
      <c r="R101" s="30"/>
      <c r="S101" s="30"/>
      <c r="T101" s="30"/>
      <c r="U101" s="28"/>
      <c r="V101" s="28"/>
      <c r="W101" s="45"/>
      <c r="X101" s="45"/>
    </row>
    <row r="102" spans="1:24" ht="13.8">
      <c r="A102" s="26"/>
      <c r="B102" s="27"/>
      <c r="C102" s="31"/>
      <c r="D102" s="31"/>
      <c r="E102" s="31"/>
      <c r="F102" s="31"/>
      <c r="G102" s="29"/>
      <c r="H102" s="30"/>
      <c r="I102" s="30"/>
      <c r="J102" s="39"/>
      <c r="K102" s="30"/>
      <c r="L102" s="30"/>
      <c r="M102" s="30"/>
      <c r="N102" s="30"/>
      <c r="O102" s="30"/>
      <c r="P102" s="30"/>
      <c r="Q102" s="30"/>
      <c r="R102" s="30"/>
      <c r="S102" s="30"/>
      <c r="T102" s="30"/>
      <c r="U102" s="28"/>
      <c r="V102" s="28"/>
      <c r="W102" s="45"/>
      <c r="X102" s="45"/>
    </row>
    <row r="103" spans="1:24" ht="13.8">
      <c r="A103" s="26"/>
      <c r="B103" s="27"/>
      <c r="C103" s="31"/>
      <c r="D103" s="31"/>
      <c r="E103" s="31"/>
      <c r="F103" s="31"/>
      <c r="G103" s="29"/>
      <c r="H103" s="30"/>
      <c r="I103" s="30"/>
      <c r="J103" s="39"/>
      <c r="K103" s="30"/>
      <c r="L103" s="30"/>
      <c r="M103" s="30"/>
      <c r="N103" s="30"/>
      <c r="O103" s="30"/>
      <c r="P103" s="30"/>
      <c r="Q103" s="30"/>
      <c r="R103" s="30"/>
      <c r="S103" s="30"/>
      <c r="T103" s="30"/>
      <c r="U103" s="28"/>
      <c r="V103" s="28"/>
      <c r="W103" s="45"/>
      <c r="X103" s="45"/>
    </row>
    <row r="104" spans="1:24" ht="13.8">
      <c r="A104" s="26"/>
      <c r="B104" s="27"/>
      <c r="C104" s="31"/>
      <c r="D104" s="31"/>
      <c r="E104" s="31"/>
      <c r="F104" s="31"/>
      <c r="G104" s="29"/>
      <c r="H104" s="30"/>
      <c r="I104" s="30"/>
      <c r="J104" s="38"/>
      <c r="K104" s="30"/>
      <c r="L104" s="30"/>
      <c r="M104" s="30"/>
      <c r="N104" s="30"/>
      <c r="O104" s="30"/>
      <c r="P104" s="30"/>
      <c r="Q104" s="30"/>
      <c r="R104" s="30"/>
      <c r="S104" s="30"/>
      <c r="T104" s="30"/>
      <c r="U104" s="28"/>
      <c r="V104" s="28"/>
      <c r="W104" s="45"/>
      <c r="X104" s="45"/>
    </row>
    <row r="105" spans="1:24" ht="13.8">
      <c r="A105" s="26"/>
      <c r="B105" s="27"/>
      <c r="C105" s="31"/>
      <c r="D105" s="31"/>
      <c r="E105" s="31"/>
      <c r="F105" s="31"/>
      <c r="G105" s="29"/>
      <c r="H105" s="30"/>
      <c r="I105" s="30"/>
      <c r="J105" s="39"/>
      <c r="K105" s="30"/>
      <c r="L105" s="30"/>
      <c r="M105" s="30"/>
      <c r="N105" s="30"/>
      <c r="O105" s="30"/>
      <c r="P105" s="30"/>
      <c r="Q105" s="30"/>
      <c r="R105" s="30"/>
      <c r="S105" s="30"/>
      <c r="T105" s="30"/>
      <c r="U105" s="28"/>
      <c r="V105" s="28"/>
      <c r="W105" s="45"/>
      <c r="X105" s="45"/>
    </row>
    <row r="106" spans="1:24" ht="13.8">
      <c r="A106" s="26"/>
      <c r="B106" s="27"/>
      <c r="C106" s="32"/>
      <c r="D106" s="31"/>
      <c r="E106" s="32"/>
      <c r="F106" s="32"/>
      <c r="H106" s="30"/>
      <c r="I106" s="30"/>
      <c r="J106" s="39"/>
      <c r="K106" s="30"/>
      <c r="L106" s="30"/>
      <c r="M106" s="30"/>
      <c r="N106" s="30"/>
      <c r="O106" s="30"/>
      <c r="P106" s="30"/>
      <c r="Q106" s="30"/>
      <c r="R106" s="30"/>
      <c r="S106" s="30"/>
      <c r="T106" s="30"/>
      <c r="U106" s="28"/>
      <c r="V106" s="28"/>
      <c r="W106" s="45"/>
      <c r="X106" s="45"/>
    </row>
    <row r="107" spans="1:24" ht="13.8">
      <c r="A107" s="26"/>
      <c r="B107" s="27"/>
      <c r="C107" s="31"/>
      <c r="D107" s="31"/>
      <c r="E107" s="31"/>
      <c r="F107" s="31"/>
      <c r="G107" s="29"/>
      <c r="H107" s="30"/>
      <c r="I107" s="30"/>
      <c r="J107" s="39"/>
      <c r="K107" s="30"/>
      <c r="L107" s="30"/>
      <c r="M107" s="30"/>
      <c r="N107" s="30"/>
      <c r="O107" s="30"/>
      <c r="P107" s="30"/>
      <c r="Q107" s="30"/>
      <c r="R107" s="30"/>
      <c r="S107" s="30"/>
      <c r="T107" s="30"/>
      <c r="U107" s="28"/>
      <c r="V107" s="28"/>
      <c r="W107" s="45"/>
      <c r="X107" s="45"/>
    </row>
    <row r="108" spans="1:24" ht="13.8">
      <c r="A108" s="26"/>
      <c r="B108" s="27"/>
      <c r="C108" s="31"/>
      <c r="D108" s="31"/>
      <c r="E108" s="31"/>
      <c r="F108" s="31"/>
      <c r="G108" s="29"/>
      <c r="H108" s="30"/>
      <c r="I108" s="30"/>
      <c r="J108" s="39"/>
      <c r="K108" s="30"/>
      <c r="L108" s="30"/>
      <c r="M108" s="30"/>
      <c r="N108" s="30"/>
      <c r="O108" s="30"/>
      <c r="P108" s="30"/>
      <c r="Q108" s="30"/>
      <c r="R108" s="30"/>
      <c r="S108" s="30"/>
      <c r="T108" s="30"/>
      <c r="U108" s="28"/>
      <c r="V108" s="28"/>
      <c r="W108" s="45"/>
      <c r="X108" s="45"/>
    </row>
    <row r="109" spans="1:24" ht="13.8">
      <c r="A109" s="26"/>
      <c r="B109" s="26"/>
      <c r="C109" s="28"/>
      <c r="D109" s="28"/>
      <c r="E109" s="28"/>
      <c r="F109" s="28"/>
      <c r="G109" s="33"/>
      <c r="H109" s="30"/>
      <c r="I109" s="30"/>
      <c r="J109" s="40"/>
      <c r="K109" s="30"/>
      <c r="L109" s="30"/>
      <c r="M109" s="30"/>
      <c r="N109" s="30"/>
      <c r="O109" s="30"/>
      <c r="P109" s="30"/>
      <c r="Q109" s="30"/>
      <c r="R109" s="30"/>
      <c r="S109" s="30"/>
      <c r="W109" s="28"/>
      <c r="X109" s="28"/>
    </row>
    <row r="110" spans="1:24">
      <c r="A110" s="1205"/>
      <c r="B110" s="1206"/>
      <c r="C110" s="1206"/>
      <c r="D110" s="1206"/>
      <c r="E110" s="1206"/>
      <c r="F110" s="1207"/>
      <c r="G110" s="34"/>
      <c r="H110" s="35"/>
      <c r="I110" s="35"/>
      <c r="W110" s="47"/>
      <c r="X110" s="47"/>
    </row>
    <row r="111" spans="1:24">
      <c r="W111" s="1204"/>
      <c r="X111" s="1200"/>
    </row>
    <row r="112" spans="1:24">
      <c r="W112" s="48"/>
      <c r="X112" s="48"/>
    </row>
    <row r="113" spans="1:28">
      <c r="W113" s="1204"/>
      <c r="X113" s="1200"/>
    </row>
    <row r="114" spans="1:28">
      <c r="W114" s="49"/>
      <c r="X114" s="49"/>
    </row>
    <row r="115" spans="1:28">
      <c r="A115" s="36"/>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25" spans="1:28" ht="14.4" thickBot="1">
      <c r="T125" s="1"/>
      <c r="U125" s="1"/>
      <c r="V125" s="1"/>
      <c r="W125" s="1"/>
      <c r="X125" s="1"/>
    </row>
    <row r="126" spans="1:28" ht="12.75" customHeight="1" thickBot="1">
      <c r="A126" s="1"/>
      <c r="B126" s="1"/>
      <c r="C126" s="1"/>
      <c r="D126" s="1"/>
      <c r="E126" s="1"/>
      <c r="F126" s="1"/>
      <c r="G126" s="1"/>
      <c r="H126" s="1"/>
      <c r="I126" s="1"/>
      <c r="J126" s="1"/>
      <c r="K126" s="1"/>
      <c r="L126" s="1"/>
      <c r="M126" s="1"/>
      <c r="N126" s="1"/>
      <c r="O126" s="1"/>
      <c r="P126" s="1"/>
      <c r="Q126" s="1"/>
      <c r="R126" s="1"/>
      <c r="S126" s="1"/>
      <c r="T126" s="8"/>
      <c r="U126" s="8"/>
      <c r="V126" s="8"/>
      <c r="W126" s="8"/>
      <c r="X126" s="8"/>
      <c r="AB126" s="50"/>
    </row>
    <row r="127" spans="1:28" ht="13.5" customHeight="1">
      <c r="A127" s="2"/>
      <c r="B127" s="3"/>
      <c r="C127" s="4"/>
      <c r="D127" s="5"/>
      <c r="E127" s="607"/>
      <c r="F127" s="3"/>
      <c r="G127" s="6"/>
      <c r="H127" s="7"/>
      <c r="I127" s="8"/>
      <c r="J127" s="8"/>
      <c r="K127" s="8"/>
      <c r="L127" s="8"/>
      <c r="M127" s="8"/>
      <c r="N127" s="8"/>
      <c r="O127" s="8"/>
      <c r="P127" s="8"/>
      <c r="Q127" s="8"/>
      <c r="R127" s="8"/>
      <c r="S127" s="8"/>
      <c r="T127" s="13"/>
      <c r="U127" s="13"/>
      <c r="V127" s="13"/>
      <c r="W127" s="13"/>
      <c r="X127" s="13"/>
    </row>
    <row r="128" spans="1:28" ht="17.25" customHeight="1" thickBot="1">
      <c r="A128" s="9"/>
      <c r="B128" s="6"/>
      <c r="C128" s="10"/>
      <c r="D128" s="11"/>
      <c r="E128" s="51"/>
      <c r="F128" s="6"/>
      <c r="G128" s="6"/>
      <c r="H128" s="12"/>
      <c r="I128" s="13"/>
      <c r="J128" s="13"/>
      <c r="K128" s="13"/>
      <c r="L128" s="13"/>
      <c r="M128" s="13"/>
      <c r="N128" s="13"/>
      <c r="O128" s="13"/>
      <c r="P128" s="13"/>
      <c r="Q128" s="13"/>
      <c r="R128" s="13"/>
      <c r="S128" s="13"/>
      <c r="T128" s="19"/>
      <c r="U128" s="19"/>
      <c r="V128" s="19"/>
      <c r="W128" s="19"/>
      <c r="X128" s="19"/>
    </row>
    <row r="129" spans="1:24" ht="24" thickBot="1">
      <c r="A129" s="14"/>
      <c r="B129" s="15"/>
      <c r="C129" s="16"/>
      <c r="D129" s="1224"/>
      <c r="E129" s="1225"/>
      <c r="F129" s="1225"/>
      <c r="G129" s="17"/>
      <c r="H129" s="18"/>
      <c r="I129" s="19"/>
      <c r="J129" s="19"/>
      <c r="K129" s="19"/>
      <c r="L129" s="19"/>
      <c r="M129" s="19"/>
      <c r="N129" s="19"/>
      <c r="O129" s="19"/>
      <c r="P129" s="19"/>
      <c r="Q129" s="19"/>
      <c r="R129" s="19"/>
      <c r="S129" s="19"/>
      <c r="T129" s="6"/>
      <c r="U129" s="6"/>
      <c r="V129" s="6"/>
      <c r="W129" s="6"/>
      <c r="X129" s="6"/>
    </row>
    <row r="130" spans="1:24" ht="13.8">
      <c r="A130" s="9"/>
      <c r="B130" s="6"/>
      <c r="C130" s="6"/>
      <c r="D130" s="6"/>
      <c r="E130" s="6"/>
      <c r="F130" s="6"/>
      <c r="G130" s="6"/>
      <c r="H130" s="20"/>
      <c r="I130" s="6"/>
      <c r="J130" s="6"/>
      <c r="K130" s="6"/>
      <c r="L130" s="6"/>
      <c r="M130" s="6"/>
      <c r="N130" s="6"/>
      <c r="O130" s="6"/>
      <c r="P130" s="6"/>
      <c r="Q130" s="6"/>
      <c r="R130" s="6"/>
      <c r="S130" s="6"/>
      <c r="T130" s="6"/>
      <c r="U130" s="6"/>
      <c r="V130" s="6"/>
      <c r="W130" s="6"/>
      <c r="X130" s="6"/>
    </row>
    <row r="131" spans="1:24" ht="13.8">
      <c r="A131" s="9"/>
      <c r="B131" s="6"/>
      <c r="C131" s="6"/>
      <c r="D131" s="6"/>
      <c r="E131" s="6"/>
      <c r="F131" s="6"/>
      <c r="G131" s="6"/>
      <c r="H131" s="20"/>
      <c r="I131" s="6"/>
      <c r="J131" s="6"/>
      <c r="K131" s="6"/>
      <c r="L131" s="6"/>
      <c r="M131" s="6"/>
      <c r="N131" s="6"/>
      <c r="O131" s="6"/>
      <c r="P131" s="6"/>
      <c r="Q131" s="6"/>
      <c r="R131" s="6"/>
      <c r="S131" s="6"/>
      <c r="T131" s="1"/>
      <c r="U131" s="1"/>
      <c r="V131" s="1"/>
      <c r="W131" s="1"/>
      <c r="X131" s="6"/>
    </row>
    <row r="132" spans="1:24" ht="13.8">
      <c r="A132" s="9"/>
      <c r="B132" s="6"/>
      <c r="C132" s="6"/>
      <c r="D132" s="6"/>
      <c r="E132" s="6"/>
      <c r="F132" s="6"/>
      <c r="G132" s="6"/>
      <c r="H132" s="20"/>
      <c r="I132" s="6"/>
      <c r="J132" s="6"/>
      <c r="K132" s="6"/>
      <c r="L132" s="6"/>
      <c r="M132" s="6"/>
      <c r="N132" s="6"/>
      <c r="O132" s="6"/>
      <c r="P132" s="1"/>
      <c r="Q132" s="1"/>
      <c r="R132" s="1"/>
      <c r="S132" s="1"/>
      <c r="T132" s="1"/>
      <c r="U132" s="1"/>
      <c r="V132" s="1"/>
      <c r="W132" s="1"/>
      <c r="X132" s="6"/>
    </row>
    <row r="133" spans="1:24" ht="13.8">
      <c r="A133" s="9"/>
      <c r="B133" s="6"/>
      <c r="C133" s="6"/>
      <c r="D133" s="6"/>
      <c r="E133" s="6"/>
      <c r="F133" s="6"/>
      <c r="G133" s="6"/>
      <c r="H133" s="20"/>
      <c r="I133" s="6"/>
      <c r="J133" s="6"/>
      <c r="K133" s="6"/>
      <c r="L133" s="6"/>
      <c r="M133" s="6"/>
      <c r="N133" s="6"/>
      <c r="O133" s="6"/>
      <c r="P133" s="1"/>
      <c r="Q133" s="1"/>
      <c r="R133" s="1"/>
      <c r="S133" s="1"/>
      <c r="T133" s="6"/>
      <c r="U133" s="6"/>
      <c r="V133" s="6"/>
      <c r="W133" s="6"/>
      <c r="X133" s="6"/>
    </row>
    <row r="134" spans="1:24" ht="13.8">
      <c r="A134" s="2"/>
      <c r="B134" s="3"/>
      <c r="C134" s="3"/>
      <c r="D134" s="3"/>
      <c r="E134" s="3"/>
      <c r="F134" s="4"/>
      <c r="G134" s="6"/>
      <c r="H134" s="6"/>
      <c r="I134" s="6"/>
      <c r="J134" s="6"/>
      <c r="K134" s="6"/>
      <c r="L134" s="6"/>
      <c r="M134" s="6"/>
      <c r="N134" s="6"/>
      <c r="O134" s="6"/>
      <c r="P134" s="6"/>
      <c r="Q134" s="6"/>
      <c r="R134" s="6"/>
      <c r="S134" s="6"/>
      <c r="T134" s="6"/>
      <c r="U134" s="6"/>
      <c r="V134" s="6"/>
      <c r="W134" s="6"/>
      <c r="X134" s="6"/>
    </row>
    <row r="135" spans="1:24" ht="13.8">
      <c r="A135" s="9"/>
      <c r="B135" s="6"/>
      <c r="C135" s="6"/>
      <c r="D135" s="6"/>
      <c r="E135" s="6"/>
      <c r="F135" s="10"/>
      <c r="G135" s="6"/>
      <c r="H135" s="6"/>
      <c r="I135" s="6"/>
      <c r="J135" s="6"/>
      <c r="K135" s="6"/>
      <c r="L135" s="6"/>
      <c r="M135" s="6"/>
      <c r="N135" s="6"/>
      <c r="O135" s="6"/>
      <c r="P135" s="6"/>
      <c r="Q135" s="6"/>
      <c r="R135" s="6"/>
      <c r="S135" s="6"/>
      <c r="T135" s="6"/>
      <c r="U135" s="6"/>
      <c r="V135" s="6"/>
      <c r="W135" s="6"/>
      <c r="X135" s="6"/>
    </row>
    <row r="136" spans="1:24" ht="13.8">
      <c r="A136" s="9"/>
      <c r="B136" s="6"/>
      <c r="C136" s="6"/>
      <c r="D136" s="6"/>
      <c r="E136" s="6"/>
      <c r="F136" s="10"/>
      <c r="G136" s="6"/>
      <c r="H136" s="6"/>
      <c r="I136" s="6"/>
      <c r="J136" s="6"/>
      <c r="K136" s="6"/>
      <c r="L136" s="6"/>
      <c r="M136" s="6"/>
      <c r="N136" s="6"/>
      <c r="O136" s="6"/>
      <c r="P136" s="6"/>
      <c r="Q136" s="6"/>
      <c r="R136" s="6"/>
      <c r="S136" s="6"/>
      <c r="T136" s="6"/>
      <c r="U136" s="6"/>
      <c r="V136" s="6"/>
      <c r="W136" s="42"/>
      <c r="X136" s="6"/>
    </row>
    <row r="137" spans="1:24" ht="13.8">
      <c r="A137" s="9"/>
      <c r="B137" s="6"/>
      <c r="C137" s="6"/>
      <c r="D137" s="6"/>
      <c r="E137" s="6"/>
      <c r="F137" s="10"/>
      <c r="G137" s="6"/>
      <c r="H137" s="6"/>
      <c r="I137" s="6"/>
      <c r="J137" s="6"/>
      <c r="K137" s="6"/>
      <c r="L137" s="6"/>
      <c r="M137" s="6"/>
      <c r="N137" s="6"/>
      <c r="O137" s="6"/>
      <c r="P137" s="6"/>
      <c r="Q137" s="6"/>
      <c r="R137" s="6"/>
      <c r="S137" s="6"/>
      <c r="T137" s="6"/>
      <c r="U137" s="6"/>
      <c r="V137" s="6"/>
      <c r="W137" s="42"/>
      <c r="X137" s="6"/>
    </row>
    <row r="138" spans="1:24" ht="13.8">
      <c r="A138" s="9"/>
      <c r="B138" s="6"/>
      <c r="C138" s="6"/>
      <c r="D138" s="6"/>
      <c r="E138" s="6"/>
      <c r="F138" s="10"/>
      <c r="G138" s="6"/>
      <c r="H138" s="6"/>
      <c r="I138" s="6"/>
      <c r="J138" s="6"/>
      <c r="K138" s="6"/>
      <c r="L138" s="6"/>
      <c r="M138" s="6"/>
      <c r="N138" s="6"/>
      <c r="O138" s="6"/>
      <c r="P138" s="6"/>
      <c r="Q138" s="6"/>
      <c r="R138" s="6"/>
      <c r="S138" s="6"/>
      <c r="T138" s="6"/>
      <c r="U138" s="6"/>
      <c r="V138" s="6"/>
      <c r="W138" s="42"/>
      <c r="X138" s="6"/>
    </row>
    <row r="139" spans="1:24" ht="12.75" customHeight="1">
      <c r="A139" s="9"/>
      <c r="B139" s="6"/>
      <c r="C139" s="6"/>
      <c r="D139" s="6"/>
      <c r="E139" s="6"/>
      <c r="F139" s="10"/>
      <c r="G139" s="6"/>
      <c r="H139" s="6"/>
      <c r="I139" s="6"/>
      <c r="J139" s="6"/>
      <c r="K139" s="6"/>
      <c r="L139" s="6"/>
      <c r="M139" s="6"/>
      <c r="N139" s="6"/>
      <c r="O139" s="6"/>
      <c r="P139" s="6"/>
      <c r="Q139" s="6"/>
      <c r="R139" s="6"/>
      <c r="S139" s="6"/>
      <c r="T139" s="23"/>
      <c r="U139" s="23"/>
      <c r="V139" s="23"/>
      <c r="W139" s="1208"/>
      <c r="X139" s="1209"/>
    </row>
    <row r="140" spans="1:24" ht="15.75" customHeight="1">
      <c r="A140" s="21"/>
      <c r="B140" s="21"/>
      <c r="C140" s="1226"/>
      <c r="D140" s="1226"/>
      <c r="E140" s="1226"/>
      <c r="F140" s="1226"/>
      <c r="G140" s="22"/>
      <c r="H140" s="23"/>
      <c r="I140" s="23"/>
      <c r="J140" s="23"/>
      <c r="K140" s="23"/>
      <c r="L140" s="23"/>
      <c r="M140" s="23"/>
      <c r="N140" s="23"/>
      <c r="O140" s="23"/>
      <c r="P140" s="23"/>
      <c r="Q140" s="23"/>
      <c r="R140" s="23"/>
      <c r="S140" s="23"/>
      <c r="T140" s="24"/>
      <c r="U140" s="24"/>
      <c r="V140" s="24"/>
      <c r="W140" s="1210"/>
      <c r="X140" s="1211"/>
    </row>
    <row r="141" spans="1:24" ht="13.8">
      <c r="A141" s="1196"/>
      <c r="B141" s="24"/>
      <c r="C141" s="1196"/>
      <c r="D141" s="1196"/>
      <c r="E141" s="608"/>
      <c r="F141" s="1196"/>
      <c r="G141" s="24"/>
      <c r="H141" s="24"/>
      <c r="I141" s="24"/>
      <c r="J141" s="24"/>
      <c r="K141" s="24"/>
      <c r="L141" s="24"/>
      <c r="M141" s="24"/>
      <c r="N141" s="24"/>
      <c r="O141" s="24"/>
      <c r="P141" s="24"/>
      <c r="Q141" s="24"/>
      <c r="R141" s="24"/>
      <c r="S141" s="24"/>
      <c r="T141" s="24"/>
      <c r="U141" s="24"/>
      <c r="V141" s="24"/>
      <c r="W141" s="1212"/>
      <c r="X141" s="1213"/>
    </row>
    <row r="142" spans="1:24" ht="21" customHeight="1">
      <c r="A142" s="1196"/>
      <c r="B142" s="24"/>
      <c r="C142" s="1196"/>
      <c r="D142" s="1196"/>
      <c r="E142" s="608"/>
      <c r="F142" s="1196"/>
      <c r="G142" s="24"/>
      <c r="H142" s="24"/>
      <c r="I142" s="24"/>
      <c r="J142" s="24"/>
      <c r="K142" s="24"/>
      <c r="L142" s="24"/>
      <c r="M142" s="24"/>
      <c r="N142" s="24"/>
      <c r="O142" s="24"/>
      <c r="P142" s="24"/>
      <c r="Q142" s="24"/>
      <c r="R142" s="24"/>
      <c r="S142" s="24"/>
      <c r="T142" s="25"/>
      <c r="U142" s="25"/>
      <c r="V142" s="25"/>
      <c r="W142" s="43"/>
      <c r="X142" s="44"/>
    </row>
    <row r="143" spans="1:24" ht="13.8" hidden="1">
      <c r="A143" s="1197"/>
      <c r="B143" s="25"/>
      <c r="C143" s="1197"/>
      <c r="D143" s="1197"/>
      <c r="E143" s="25"/>
      <c r="F143" s="1197"/>
      <c r="G143" s="24"/>
      <c r="H143" s="25"/>
      <c r="I143" s="25"/>
      <c r="J143" s="25"/>
      <c r="K143" s="25"/>
      <c r="L143" s="25"/>
      <c r="M143" s="25"/>
      <c r="N143" s="25"/>
      <c r="O143" s="25"/>
      <c r="P143" s="25"/>
      <c r="Q143" s="25"/>
      <c r="R143" s="25"/>
      <c r="S143" s="25"/>
      <c r="T143" s="30"/>
      <c r="U143" s="28"/>
      <c r="V143" s="28"/>
      <c r="W143" s="46"/>
      <c r="X143" s="46"/>
    </row>
    <row r="144" spans="1:24" ht="13.8">
      <c r="A144" s="26"/>
      <c r="B144" s="27"/>
      <c r="C144" s="31"/>
      <c r="D144" s="31"/>
      <c r="E144" s="31"/>
      <c r="F144" s="31"/>
      <c r="G144" s="33"/>
      <c r="H144" s="30"/>
      <c r="I144" s="30"/>
      <c r="J144" s="40"/>
      <c r="K144" s="30"/>
      <c r="L144" s="30"/>
      <c r="M144" s="30"/>
      <c r="N144" s="30"/>
      <c r="O144" s="30"/>
      <c r="P144" s="30"/>
      <c r="Q144" s="30"/>
      <c r="R144" s="30"/>
      <c r="S144" s="30"/>
      <c r="T144" s="30"/>
      <c r="U144" s="28"/>
      <c r="V144" s="28"/>
      <c r="W144" s="46"/>
      <c r="X144" s="46"/>
    </row>
    <row r="145" spans="1:24" ht="13.8">
      <c r="A145" s="26"/>
      <c r="B145" s="27"/>
      <c r="C145" s="32"/>
      <c r="D145" s="31"/>
      <c r="E145" s="32"/>
      <c r="F145" s="32"/>
      <c r="H145" s="30"/>
      <c r="I145" s="30"/>
      <c r="J145" s="49"/>
      <c r="K145" s="38"/>
      <c r="L145" s="38"/>
      <c r="M145" s="38"/>
      <c r="N145" s="38"/>
      <c r="O145" s="38"/>
      <c r="P145" s="38"/>
      <c r="Q145" s="38"/>
      <c r="R145" s="38"/>
      <c r="S145" s="38"/>
      <c r="T145" s="30"/>
      <c r="U145" s="28"/>
      <c r="V145" s="28"/>
      <c r="W145" s="46"/>
      <c r="X145" s="46"/>
    </row>
    <row r="146" spans="1:24" ht="13.8">
      <c r="A146" s="26"/>
      <c r="B146" s="27"/>
      <c r="C146" s="31"/>
      <c r="D146" s="31"/>
      <c r="E146" s="31"/>
      <c r="F146" s="31"/>
      <c r="G146" s="29"/>
      <c r="H146" s="30"/>
      <c r="I146" s="30"/>
      <c r="J146" s="39"/>
      <c r="K146" s="30"/>
      <c r="L146" s="30"/>
      <c r="M146" s="30"/>
      <c r="N146" s="30"/>
      <c r="O146" s="30"/>
      <c r="P146" s="30"/>
      <c r="Q146" s="30"/>
      <c r="R146" s="30"/>
      <c r="S146" s="30"/>
      <c r="T146" s="30"/>
      <c r="U146" s="28"/>
      <c r="V146" s="28"/>
      <c r="W146" s="46"/>
      <c r="X146" s="46"/>
    </row>
    <row r="147" spans="1:24" ht="13.8">
      <c r="A147" s="26"/>
      <c r="B147" s="27"/>
      <c r="C147" s="31"/>
      <c r="D147" s="31"/>
      <c r="E147" s="31"/>
      <c r="F147" s="31"/>
      <c r="G147" s="29"/>
      <c r="H147" s="30"/>
      <c r="I147" s="30"/>
      <c r="J147" s="39"/>
      <c r="K147" s="30"/>
      <c r="L147" s="30"/>
      <c r="M147" s="30"/>
      <c r="N147" s="30"/>
      <c r="O147" s="30"/>
      <c r="P147" s="30"/>
      <c r="Q147" s="30"/>
      <c r="R147" s="30"/>
      <c r="S147" s="30"/>
      <c r="T147" s="30"/>
      <c r="U147" s="28"/>
      <c r="V147" s="28"/>
      <c r="W147" s="46"/>
      <c r="X147" s="46"/>
    </row>
    <row r="148" spans="1:24" ht="13.8">
      <c r="A148" s="26"/>
      <c r="B148" s="27"/>
      <c r="C148" s="32"/>
      <c r="D148" s="31"/>
      <c r="E148" s="32"/>
      <c r="F148" s="32"/>
      <c r="H148" s="30"/>
      <c r="I148" s="30"/>
      <c r="J148" s="49"/>
      <c r="K148" s="30"/>
      <c r="L148" s="30"/>
      <c r="M148" s="30"/>
      <c r="N148" s="30"/>
      <c r="O148" s="30"/>
      <c r="P148" s="30"/>
      <c r="Q148" s="30"/>
      <c r="R148" s="30"/>
      <c r="S148" s="30"/>
      <c r="T148" s="30"/>
      <c r="W148" s="46"/>
      <c r="X148" s="46"/>
    </row>
    <row r="149" spans="1:24" ht="13.8">
      <c r="A149" s="26"/>
      <c r="B149" s="27"/>
      <c r="C149" s="32"/>
      <c r="D149" s="31"/>
      <c r="E149" s="32"/>
      <c r="F149" s="32"/>
      <c r="H149" s="30"/>
      <c r="I149" s="30"/>
      <c r="J149" s="49"/>
      <c r="K149" s="30"/>
      <c r="L149" s="30"/>
      <c r="M149" s="30"/>
      <c r="N149" s="30"/>
      <c r="O149" s="30"/>
      <c r="P149" s="30"/>
      <c r="Q149" s="30"/>
      <c r="R149" s="30"/>
      <c r="S149" s="30"/>
      <c r="T149" s="38"/>
      <c r="U149" s="41"/>
      <c r="V149" s="41"/>
      <c r="W149" s="46"/>
      <c r="X149" s="46"/>
    </row>
    <row r="150" spans="1:24" ht="13.8">
      <c r="A150" s="26"/>
      <c r="B150" s="27"/>
      <c r="C150" s="32"/>
      <c r="D150" s="31"/>
      <c r="E150" s="32"/>
      <c r="F150" s="32"/>
      <c r="H150" s="30"/>
      <c r="I150" s="30"/>
      <c r="J150" s="49"/>
      <c r="K150" s="30"/>
      <c r="L150" s="30"/>
      <c r="M150" s="30"/>
      <c r="N150" s="30"/>
      <c r="O150" s="30"/>
      <c r="P150" s="30"/>
      <c r="Q150" s="30"/>
      <c r="R150" s="30"/>
      <c r="S150" s="30"/>
      <c r="T150" s="30"/>
      <c r="U150" s="28"/>
      <c r="V150" s="28"/>
      <c r="W150" s="46"/>
      <c r="X150" s="46"/>
    </row>
    <row r="151" spans="1:24" ht="13.8">
      <c r="A151" s="26"/>
      <c r="B151" s="27"/>
      <c r="C151" s="32"/>
      <c r="D151" s="31"/>
      <c r="E151" s="32"/>
      <c r="F151" s="32"/>
      <c r="H151" s="38"/>
      <c r="I151" s="38"/>
      <c r="J151" s="38"/>
      <c r="K151" s="38"/>
      <c r="L151" s="38"/>
      <c r="M151" s="38"/>
      <c r="N151" s="38"/>
      <c r="O151" s="38"/>
      <c r="P151" s="38"/>
      <c r="Q151" s="38"/>
      <c r="R151" s="38"/>
      <c r="S151" s="38"/>
      <c r="T151" s="30"/>
      <c r="W151" s="46"/>
      <c r="X151" s="46"/>
    </row>
    <row r="152" spans="1:24" ht="13.8">
      <c r="A152" s="26"/>
      <c r="B152" s="27"/>
      <c r="C152" s="31"/>
      <c r="D152" s="31"/>
      <c r="E152" s="32"/>
      <c r="F152" s="32"/>
      <c r="H152" s="30"/>
      <c r="I152" s="30"/>
      <c r="J152" s="30"/>
      <c r="K152" s="30"/>
      <c r="L152" s="30"/>
      <c r="M152" s="30"/>
      <c r="N152" s="30"/>
      <c r="O152" s="30"/>
      <c r="P152" s="30"/>
      <c r="Q152" s="30"/>
      <c r="R152" s="30"/>
      <c r="S152" s="30"/>
      <c r="W152" s="47"/>
      <c r="X152" s="47"/>
    </row>
    <row r="153" spans="1:24" ht="13.8">
      <c r="A153" s="26"/>
      <c r="B153" s="27"/>
      <c r="C153" s="31"/>
      <c r="D153" s="31"/>
      <c r="E153" s="32"/>
      <c r="F153" s="32"/>
      <c r="H153" s="30"/>
      <c r="I153" s="30"/>
      <c r="J153" s="30"/>
      <c r="K153" s="30"/>
      <c r="L153" s="30"/>
      <c r="M153" s="30"/>
      <c r="N153" s="30"/>
      <c r="O153" s="30"/>
      <c r="P153" s="30"/>
      <c r="Q153" s="30"/>
      <c r="R153" s="30"/>
      <c r="S153" s="30"/>
      <c r="W153" s="1204"/>
      <c r="X153" s="1200"/>
    </row>
    <row r="154" spans="1:24">
      <c r="A154" s="1205"/>
      <c r="B154" s="1206"/>
      <c r="C154" s="1206"/>
      <c r="D154" s="1206"/>
      <c r="E154" s="1206"/>
      <c r="F154" s="1207"/>
      <c r="G154" s="34"/>
      <c r="H154" s="51"/>
      <c r="I154" s="51"/>
      <c r="W154" s="48"/>
      <c r="X154" s="48"/>
    </row>
    <row r="155" spans="1:24">
      <c r="W155" s="1199"/>
      <c r="X155" s="1200"/>
    </row>
    <row r="156" spans="1:24">
      <c r="H156" s="52"/>
    </row>
    <row r="157" spans="1:24" ht="13.8">
      <c r="H157" s="52"/>
      <c r="T157" s="1"/>
      <c r="U157" s="1"/>
      <c r="V157" s="1"/>
      <c r="W157" s="1"/>
      <c r="X157" s="1"/>
    </row>
    <row r="158" spans="1:24" ht="12.75" customHeight="1">
      <c r="H158" s="36"/>
      <c r="I158" s="37"/>
      <c r="J158" s="37"/>
      <c r="K158" s="37"/>
      <c r="L158" s="37"/>
      <c r="M158" s="37"/>
      <c r="N158" s="37"/>
      <c r="O158" s="37"/>
      <c r="P158" s="37"/>
      <c r="Q158" s="37"/>
      <c r="R158" s="37"/>
      <c r="S158" s="37"/>
      <c r="T158" s="64"/>
      <c r="U158" s="64"/>
      <c r="V158" s="64"/>
      <c r="W158" s="64"/>
      <c r="X158" s="64"/>
    </row>
    <row r="159" spans="1:24" ht="13.5" customHeight="1">
      <c r="T159" s="13"/>
      <c r="U159" s="13"/>
      <c r="V159" s="13"/>
      <c r="W159" s="13"/>
      <c r="X159" s="13"/>
    </row>
    <row r="160" spans="1:24" ht="16.5" customHeight="1">
      <c r="A160" s="1"/>
      <c r="B160" s="1"/>
      <c r="C160" s="1"/>
      <c r="D160" s="1"/>
      <c r="E160" s="1"/>
      <c r="F160" s="1"/>
      <c r="G160" s="1"/>
      <c r="H160" s="1"/>
      <c r="I160" s="1"/>
      <c r="J160" s="1"/>
      <c r="K160" s="1"/>
      <c r="L160" s="1"/>
      <c r="M160" s="1"/>
      <c r="N160" s="1"/>
      <c r="O160" s="1"/>
      <c r="P160" s="1"/>
      <c r="Q160" s="1"/>
      <c r="R160" s="1"/>
      <c r="S160" s="1"/>
      <c r="T160" s="13"/>
      <c r="U160" s="13"/>
      <c r="V160" s="13"/>
      <c r="W160" s="13"/>
      <c r="X160" s="13"/>
    </row>
    <row r="161" spans="1:24" ht="12.75" customHeight="1">
      <c r="A161" s="6"/>
      <c r="B161" s="6"/>
      <c r="C161" s="6"/>
      <c r="D161" s="53"/>
      <c r="E161" s="53"/>
      <c r="F161" s="6"/>
      <c r="G161" s="6"/>
      <c r="H161" s="13"/>
      <c r="I161" s="13"/>
      <c r="J161" s="13"/>
      <c r="K161" s="13"/>
      <c r="L161" s="13"/>
      <c r="M161" s="13"/>
      <c r="N161" s="13"/>
      <c r="O161" s="13"/>
      <c r="P161" s="13"/>
      <c r="Q161" s="13"/>
      <c r="R161" s="13"/>
      <c r="S161" s="13"/>
      <c r="T161" s="6"/>
      <c r="U161" s="6"/>
      <c r="V161" s="6"/>
      <c r="W161" s="6"/>
      <c r="X161" s="6"/>
    </row>
    <row r="162" spans="1:24" ht="13.5" customHeight="1">
      <c r="A162" s="6"/>
      <c r="B162" s="6"/>
      <c r="C162" s="6"/>
      <c r="D162" s="51"/>
      <c r="E162" s="51"/>
      <c r="F162" s="6"/>
      <c r="G162" s="6"/>
      <c r="H162" s="13"/>
      <c r="I162" s="13"/>
      <c r="J162" s="13"/>
      <c r="K162" s="13"/>
      <c r="L162" s="13"/>
      <c r="M162" s="13"/>
      <c r="N162" s="13"/>
      <c r="O162" s="13"/>
      <c r="P162" s="13"/>
      <c r="Q162" s="13"/>
      <c r="R162" s="13"/>
      <c r="S162" s="13"/>
      <c r="T162" s="6"/>
      <c r="U162" s="6"/>
      <c r="V162" s="6"/>
      <c r="W162" s="6"/>
      <c r="X162" s="6"/>
    </row>
    <row r="163" spans="1:24" ht="16.5" customHeight="1">
      <c r="A163" s="6"/>
      <c r="B163" s="6"/>
      <c r="C163" s="54"/>
      <c r="D163" s="1201"/>
      <c r="E163" s="1201"/>
      <c r="F163" s="1201"/>
      <c r="G163" s="17"/>
      <c r="H163" s="13"/>
      <c r="I163" s="13"/>
      <c r="J163" s="13"/>
      <c r="K163" s="13"/>
      <c r="L163" s="13"/>
      <c r="M163" s="13"/>
      <c r="N163" s="13"/>
      <c r="O163" s="13"/>
      <c r="P163" s="13"/>
      <c r="Q163" s="13"/>
      <c r="R163" s="13"/>
      <c r="S163" s="13"/>
      <c r="T163" s="6"/>
      <c r="U163" s="6"/>
      <c r="V163" s="6"/>
      <c r="W163" s="6"/>
      <c r="X163" s="6"/>
    </row>
    <row r="164" spans="1:24" ht="13.8">
      <c r="A164" s="6"/>
      <c r="B164" s="6"/>
      <c r="C164" s="6"/>
      <c r="D164" s="6"/>
      <c r="E164" s="6"/>
      <c r="F164" s="6"/>
      <c r="G164" s="6"/>
      <c r="H164" s="6"/>
      <c r="I164" s="6"/>
      <c r="J164" s="6"/>
      <c r="K164" s="6"/>
      <c r="L164" s="6"/>
      <c r="M164" s="6"/>
      <c r="N164" s="6"/>
      <c r="O164" s="6"/>
      <c r="P164" s="6"/>
      <c r="Q164" s="6"/>
      <c r="R164" s="6"/>
      <c r="S164" s="6"/>
      <c r="T164" s="1"/>
      <c r="U164" s="1"/>
      <c r="V164" s="1"/>
      <c r="W164" s="1"/>
      <c r="X164" s="6"/>
    </row>
    <row r="165" spans="1:24" ht="13.8">
      <c r="A165" s="6"/>
      <c r="B165" s="6"/>
      <c r="C165" s="6"/>
      <c r="D165" s="6"/>
      <c r="E165" s="6"/>
      <c r="F165" s="1"/>
      <c r="G165" s="6"/>
      <c r="H165" s="6"/>
      <c r="I165" s="6"/>
      <c r="J165" s="6"/>
      <c r="K165" s="6"/>
      <c r="L165" s="6"/>
      <c r="M165" s="6"/>
      <c r="N165" s="6"/>
      <c r="O165" s="6"/>
      <c r="P165" s="6"/>
      <c r="Q165" s="6"/>
      <c r="R165" s="6"/>
      <c r="S165" s="6"/>
      <c r="T165" s="1"/>
      <c r="U165" s="1"/>
      <c r="V165" s="1"/>
      <c r="W165" s="1"/>
      <c r="X165" s="6"/>
    </row>
    <row r="166" spans="1:24" ht="13.8">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3.8">
      <c r="A167" s="6"/>
      <c r="B167" s="6"/>
      <c r="C167" s="6"/>
      <c r="D167" s="6"/>
      <c r="E167" s="6"/>
      <c r="F167" s="6"/>
      <c r="G167" s="6"/>
      <c r="H167" s="6"/>
      <c r="I167" s="6"/>
      <c r="J167" s="6"/>
      <c r="K167" s="6"/>
      <c r="L167" s="6"/>
      <c r="M167" s="6"/>
      <c r="N167" s="6"/>
      <c r="O167" s="6"/>
      <c r="P167" s="1"/>
      <c r="Q167" s="1"/>
      <c r="R167" s="1"/>
      <c r="S167" s="1"/>
      <c r="T167" s="6"/>
      <c r="U167" s="6"/>
      <c r="V167" s="6"/>
      <c r="W167" s="6"/>
      <c r="X167" s="6"/>
    </row>
    <row r="168" spans="1:24" ht="13.8">
      <c r="A168" s="6"/>
      <c r="B168" s="6"/>
      <c r="C168" s="6"/>
      <c r="D168" s="6"/>
      <c r="E168" s="6"/>
      <c r="F168" s="6"/>
      <c r="G168" s="6"/>
      <c r="H168" s="6"/>
      <c r="I168" s="6"/>
      <c r="J168" s="6"/>
      <c r="K168" s="6"/>
      <c r="L168" s="6"/>
      <c r="M168" s="6"/>
      <c r="N168" s="6"/>
      <c r="O168" s="6"/>
      <c r="P168" s="1"/>
      <c r="Q168" s="1"/>
      <c r="R168" s="1"/>
      <c r="S168" s="1"/>
      <c r="T168" s="6"/>
      <c r="U168" s="6"/>
      <c r="V168" s="6"/>
      <c r="W168" s="6"/>
      <c r="X168" s="6"/>
    </row>
    <row r="169" spans="1:24" ht="13.8">
      <c r="A169" s="6"/>
      <c r="B169" s="6"/>
      <c r="C169" s="6"/>
      <c r="D169" s="6"/>
      <c r="E169" s="6"/>
      <c r="F169" s="6"/>
      <c r="G169" s="6"/>
      <c r="H169" s="6"/>
      <c r="I169" s="6"/>
      <c r="J169" s="6"/>
      <c r="K169" s="6"/>
      <c r="L169" s="6"/>
      <c r="M169" s="6"/>
      <c r="N169" s="6"/>
      <c r="O169" s="6"/>
      <c r="P169" s="6"/>
      <c r="Q169" s="6"/>
      <c r="R169" s="6"/>
      <c r="S169" s="6"/>
      <c r="T169" s="6"/>
      <c r="U169" s="6"/>
      <c r="V169" s="6"/>
      <c r="W169" s="42"/>
      <c r="X169" s="6"/>
    </row>
    <row r="170" spans="1:24" ht="13.8">
      <c r="A170" s="6"/>
      <c r="B170" s="6"/>
      <c r="C170" s="6"/>
      <c r="D170" s="6"/>
      <c r="E170" s="6"/>
      <c r="F170" s="6"/>
      <c r="G170" s="6"/>
      <c r="H170" s="6"/>
      <c r="I170" s="6"/>
      <c r="J170" s="6"/>
      <c r="K170" s="6"/>
      <c r="L170" s="6"/>
      <c r="M170" s="6"/>
      <c r="N170" s="6"/>
      <c r="O170" s="6"/>
      <c r="P170" s="6"/>
      <c r="Q170" s="6"/>
      <c r="R170" s="6"/>
      <c r="S170" s="6"/>
      <c r="T170" s="6"/>
      <c r="U170" s="6"/>
      <c r="V170" s="6"/>
      <c r="W170" s="42"/>
      <c r="X170" s="6"/>
    </row>
    <row r="171" spans="1:24" ht="13.8">
      <c r="A171" s="6"/>
      <c r="B171" s="6"/>
      <c r="C171" s="6"/>
      <c r="D171" s="6"/>
      <c r="E171" s="6"/>
      <c r="F171" s="6"/>
      <c r="G171" s="6"/>
      <c r="H171" s="6"/>
      <c r="I171" s="6"/>
      <c r="J171" s="6"/>
      <c r="K171" s="6"/>
      <c r="L171" s="6"/>
      <c r="M171" s="6"/>
      <c r="N171" s="6"/>
      <c r="O171" s="6"/>
      <c r="P171" s="6"/>
      <c r="Q171" s="6"/>
      <c r="R171" s="6"/>
      <c r="S171" s="6"/>
      <c r="T171" s="6"/>
      <c r="U171" s="6"/>
      <c r="V171" s="6"/>
      <c r="W171" s="42"/>
      <c r="X171" s="6"/>
    </row>
    <row r="172" spans="1:24" ht="13.8">
      <c r="A172" s="6"/>
      <c r="B172" s="6"/>
      <c r="C172" s="6"/>
      <c r="D172" s="6"/>
      <c r="E172" s="6"/>
      <c r="F172" s="6"/>
      <c r="G172" s="6"/>
      <c r="H172" s="6"/>
      <c r="I172" s="6"/>
      <c r="J172" s="6"/>
      <c r="K172" s="6"/>
      <c r="L172" s="6"/>
      <c r="M172" s="6"/>
      <c r="N172" s="6"/>
      <c r="O172" s="6"/>
      <c r="P172" s="6"/>
      <c r="Q172" s="6"/>
      <c r="R172" s="6"/>
      <c r="S172" s="6"/>
      <c r="T172" s="56"/>
      <c r="U172" s="56"/>
      <c r="V172" s="56"/>
      <c r="W172" s="1198"/>
      <c r="X172" s="1198"/>
    </row>
    <row r="173" spans="1:24" ht="13.8">
      <c r="A173" s="6"/>
      <c r="B173" s="6"/>
      <c r="C173" s="6"/>
      <c r="D173" s="6"/>
      <c r="E173" s="6"/>
      <c r="F173" s="6"/>
      <c r="G173" s="6"/>
      <c r="H173" s="6"/>
      <c r="I173" s="6"/>
      <c r="J173" s="6"/>
      <c r="K173" s="6"/>
      <c r="L173" s="6"/>
      <c r="M173" s="6"/>
      <c r="N173" s="6"/>
      <c r="O173" s="6"/>
      <c r="P173" s="6"/>
      <c r="Q173" s="6"/>
      <c r="R173" s="6"/>
      <c r="S173" s="6"/>
      <c r="T173" s="56"/>
      <c r="U173" s="56"/>
      <c r="V173" s="56"/>
      <c r="W173" s="1198"/>
      <c r="X173" s="1198"/>
    </row>
    <row r="174" spans="1:24" ht="13.8">
      <c r="A174" s="6"/>
      <c r="B174" s="6"/>
      <c r="C174" s="6"/>
      <c r="D174" s="6"/>
      <c r="E174" s="6"/>
      <c r="F174" s="6"/>
      <c r="G174" s="6"/>
      <c r="H174" s="6"/>
      <c r="I174" s="6"/>
      <c r="J174" s="6"/>
      <c r="K174" s="6"/>
      <c r="L174" s="6"/>
      <c r="M174" s="6"/>
      <c r="N174" s="6"/>
      <c r="O174" s="6"/>
      <c r="P174" s="6"/>
      <c r="Q174" s="6"/>
      <c r="R174" s="6"/>
      <c r="S174" s="6"/>
      <c r="T174" s="56"/>
      <c r="U174" s="56"/>
      <c r="V174" s="56"/>
      <c r="W174" s="1198"/>
      <c r="X174" s="1198"/>
    </row>
    <row r="175" spans="1:24" ht="15.6">
      <c r="A175" s="1"/>
      <c r="B175" s="1"/>
      <c r="C175" s="1202"/>
      <c r="D175" s="1202"/>
      <c r="E175" s="1202"/>
      <c r="F175" s="1202"/>
      <c r="G175" s="55"/>
      <c r="H175" s="56"/>
      <c r="I175" s="56"/>
      <c r="J175" s="56"/>
      <c r="K175" s="56"/>
      <c r="L175" s="56"/>
      <c r="M175" s="56"/>
      <c r="N175" s="56"/>
      <c r="O175" s="56"/>
      <c r="P175" s="56"/>
      <c r="Q175" s="56"/>
      <c r="R175" s="56"/>
      <c r="S175" s="56"/>
      <c r="T175" s="56"/>
      <c r="U175" s="56"/>
      <c r="V175" s="56"/>
      <c r="W175" s="56"/>
      <c r="X175" s="56"/>
    </row>
    <row r="176" spans="1:24" ht="13.8">
      <c r="A176" s="1198"/>
      <c r="B176" s="56"/>
      <c r="C176" s="1198"/>
      <c r="D176" s="1198"/>
      <c r="E176" s="56"/>
      <c r="F176" s="1198"/>
      <c r="G176" s="56"/>
      <c r="H176" s="56"/>
      <c r="I176" s="56"/>
      <c r="J176" s="56"/>
      <c r="K176" s="56"/>
      <c r="L176" s="56"/>
      <c r="M176" s="56"/>
      <c r="N176" s="56"/>
      <c r="O176" s="56"/>
      <c r="P176" s="56"/>
      <c r="Q176" s="56"/>
      <c r="R176" s="56"/>
      <c r="S176" s="56"/>
      <c r="T176" s="49"/>
      <c r="W176" s="65"/>
      <c r="X176" s="66"/>
    </row>
    <row r="177" spans="1:24" ht="13.8">
      <c r="A177" s="1198"/>
      <c r="B177" s="56"/>
      <c r="C177" s="1198"/>
      <c r="D177" s="1198"/>
      <c r="E177" s="56"/>
      <c r="F177" s="1198"/>
      <c r="G177" s="56"/>
      <c r="H177" s="56"/>
      <c r="I177" s="56"/>
      <c r="J177" s="56"/>
      <c r="K177" s="56"/>
      <c r="L177" s="56"/>
      <c r="M177" s="56"/>
      <c r="N177" s="56"/>
      <c r="O177" s="56"/>
      <c r="P177" s="56"/>
      <c r="Q177" s="56"/>
      <c r="R177" s="56"/>
      <c r="S177" s="56"/>
      <c r="T177" s="49"/>
      <c r="W177" s="65"/>
      <c r="X177" s="66"/>
    </row>
    <row r="178" spans="1:24" ht="13.8">
      <c r="A178" s="1198"/>
      <c r="B178" s="56"/>
      <c r="C178" s="1198"/>
      <c r="D178" s="1198"/>
      <c r="E178" s="56"/>
      <c r="F178" s="1198"/>
      <c r="G178" s="56"/>
      <c r="H178" s="56"/>
      <c r="I178" s="56"/>
      <c r="J178" s="56"/>
      <c r="K178" s="56"/>
      <c r="L178" s="56"/>
      <c r="M178" s="56"/>
      <c r="N178" s="56"/>
      <c r="O178" s="56"/>
      <c r="P178" s="56"/>
      <c r="Q178" s="56"/>
      <c r="R178" s="56"/>
      <c r="S178" s="56"/>
      <c r="T178" s="49"/>
      <c r="W178" s="65"/>
      <c r="X178" s="66"/>
    </row>
    <row r="179" spans="1:24" ht="13.8">
      <c r="A179" s="6"/>
      <c r="B179" s="57"/>
      <c r="H179" s="49"/>
      <c r="I179" s="49"/>
      <c r="J179" s="49"/>
      <c r="K179" s="49"/>
      <c r="L179" s="49"/>
      <c r="M179" s="49"/>
      <c r="N179" s="49"/>
      <c r="O179" s="49"/>
      <c r="P179" s="49"/>
      <c r="Q179" s="49"/>
      <c r="R179" s="49"/>
      <c r="S179" s="49"/>
      <c r="T179" s="49"/>
      <c r="W179" s="67"/>
      <c r="X179" s="68"/>
    </row>
    <row r="180" spans="1:24" ht="13.8">
      <c r="A180" s="6"/>
      <c r="B180" s="57"/>
      <c r="D180" s="58"/>
      <c r="E180" s="58"/>
      <c r="H180" s="49"/>
      <c r="I180" s="49"/>
      <c r="J180" s="49"/>
      <c r="K180" s="49"/>
      <c r="L180" s="49"/>
      <c r="M180" s="49"/>
      <c r="N180" s="49"/>
      <c r="O180" s="49"/>
      <c r="P180" s="49"/>
      <c r="Q180" s="49"/>
      <c r="R180" s="49"/>
      <c r="S180" s="49"/>
      <c r="T180" s="49"/>
      <c r="W180" s="67"/>
      <c r="X180" s="68"/>
    </row>
    <row r="181" spans="1:24" ht="13.8">
      <c r="A181" s="6"/>
      <c r="B181" s="57"/>
      <c r="H181" s="49"/>
      <c r="I181" s="49"/>
      <c r="J181" s="49"/>
      <c r="K181" s="49"/>
      <c r="L181" s="49"/>
      <c r="M181" s="49"/>
      <c r="N181" s="49"/>
      <c r="O181" s="49"/>
      <c r="P181" s="49"/>
      <c r="Q181" s="49"/>
      <c r="R181" s="49"/>
      <c r="S181" s="49"/>
      <c r="T181" s="49"/>
      <c r="W181" s="67"/>
      <c r="X181" s="68"/>
    </row>
    <row r="182" spans="1:24" ht="13.8">
      <c r="A182" s="6"/>
      <c r="B182" s="57"/>
      <c r="H182" s="49"/>
      <c r="I182" s="49"/>
      <c r="J182" s="49"/>
      <c r="K182" s="49"/>
      <c r="L182" s="49"/>
      <c r="M182" s="49"/>
      <c r="N182" s="49"/>
      <c r="O182" s="49"/>
      <c r="P182" s="49"/>
      <c r="Q182" s="49"/>
      <c r="R182" s="49"/>
      <c r="S182" s="49"/>
      <c r="T182" s="49"/>
      <c r="W182" s="67"/>
      <c r="X182" s="68"/>
    </row>
    <row r="183" spans="1:24" ht="13.8">
      <c r="A183" s="6"/>
      <c r="B183" s="57"/>
      <c r="H183" s="49"/>
      <c r="I183" s="49"/>
      <c r="J183" s="49"/>
      <c r="K183" s="49"/>
      <c r="L183" s="49"/>
      <c r="M183" s="49"/>
      <c r="N183" s="49"/>
      <c r="O183" s="49"/>
      <c r="P183" s="49"/>
      <c r="Q183" s="49"/>
      <c r="R183" s="49"/>
      <c r="S183" s="49"/>
      <c r="T183" s="49"/>
      <c r="W183" s="67"/>
      <c r="X183" s="67"/>
    </row>
    <row r="184" spans="1:24" ht="13.8">
      <c r="A184" s="6"/>
      <c r="B184" s="57"/>
      <c r="C184" s="50"/>
      <c r="D184" s="50"/>
      <c r="E184" s="50"/>
      <c r="F184" s="50"/>
      <c r="H184" s="49"/>
      <c r="I184" s="49"/>
      <c r="J184" s="49"/>
      <c r="K184" s="49"/>
      <c r="L184" s="49"/>
      <c r="M184" s="49"/>
      <c r="N184" s="49"/>
      <c r="O184" s="49"/>
      <c r="P184" s="49"/>
      <c r="Q184" s="49"/>
      <c r="R184" s="49"/>
      <c r="S184" s="49"/>
      <c r="T184" s="49"/>
      <c r="W184" s="67"/>
      <c r="X184" s="68"/>
    </row>
    <row r="185" spans="1:24" ht="13.8">
      <c r="A185" s="6"/>
      <c r="B185" s="57"/>
      <c r="C185" s="50"/>
      <c r="D185" s="50"/>
      <c r="E185" s="50"/>
      <c r="F185" s="50"/>
      <c r="H185" s="49"/>
      <c r="I185" s="49"/>
      <c r="J185" s="49"/>
      <c r="K185" s="49"/>
      <c r="L185" s="49"/>
      <c r="M185" s="49"/>
      <c r="N185" s="49"/>
      <c r="O185" s="49"/>
      <c r="P185" s="49"/>
      <c r="Q185" s="49"/>
      <c r="R185" s="49"/>
      <c r="S185" s="49"/>
      <c r="T185" s="49"/>
      <c r="W185" s="67"/>
      <c r="X185" s="68"/>
    </row>
    <row r="186" spans="1:24" ht="13.8">
      <c r="A186" s="6"/>
      <c r="B186" s="57"/>
      <c r="C186" s="50"/>
      <c r="D186" s="50"/>
      <c r="E186" s="50"/>
      <c r="F186" s="50"/>
      <c r="H186" s="49"/>
      <c r="I186" s="49"/>
      <c r="J186" s="49"/>
      <c r="K186" s="49"/>
      <c r="L186" s="49"/>
      <c r="M186" s="49"/>
      <c r="N186" s="49"/>
      <c r="O186" s="49"/>
      <c r="P186" s="49"/>
      <c r="Q186" s="49"/>
      <c r="R186" s="49"/>
      <c r="S186" s="49"/>
      <c r="T186" s="49"/>
      <c r="W186" s="67"/>
      <c r="X186" s="68"/>
    </row>
    <row r="187" spans="1:24" ht="13.8">
      <c r="A187" s="6"/>
      <c r="B187" s="57"/>
      <c r="C187" s="50"/>
      <c r="D187" s="50"/>
      <c r="E187" s="50"/>
      <c r="F187" s="50"/>
      <c r="H187" s="49"/>
      <c r="I187" s="49"/>
      <c r="J187" s="49"/>
      <c r="K187" s="49"/>
      <c r="L187" s="49"/>
      <c r="M187" s="49"/>
      <c r="N187" s="49"/>
      <c r="O187" s="49"/>
      <c r="P187" s="49"/>
      <c r="Q187" s="49"/>
      <c r="R187" s="49"/>
      <c r="S187" s="49"/>
      <c r="T187" s="49"/>
      <c r="W187" s="67"/>
      <c r="X187" s="68"/>
    </row>
    <row r="188" spans="1:24" ht="13.8">
      <c r="A188" s="6"/>
      <c r="B188" s="57"/>
      <c r="H188" s="49"/>
      <c r="I188" s="49"/>
      <c r="J188" s="49"/>
      <c r="K188" s="49"/>
      <c r="L188" s="49"/>
      <c r="M188" s="49"/>
      <c r="N188" s="49"/>
      <c r="O188" s="49"/>
      <c r="P188" s="49"/>
      <c r="Q188" s="49"/>
      <c r="R188" s="49"/>
      <c r="S188" s="49"/>
      <c r="T188" s="49"/>
      <c r="W188" s="67"/>
      <c r="X188" s="68"/>
    </row>
    <row r="189" spans="1:24" ht="13.8">
      <c r="A189" s="6"/>
      <c r="B189" s="57"/>
      <c r="H189" s="49"/>
      <c r="I189" s="49"/>
      <c r="J189" s="49"/>
      <c r="K189" s="49"/>
      <c r="L189" s="49"/>
      <c r="M189" s="49"/>
      <c r="N189" s="49"/>
      <c r="O189" s="49"/>
      <c r="P189" s="49"/>
      <c r="Q189" s="49"/>
      <c r="R189" s="49"/>
      <c r="S189" s="49"/>
      <c r="T189" s="49"/>
      <c r="W189" s="67"/>
      <c r="X189" s="68"/>
    </row>
    <row r="190" spans="1:24" ht="13.8">
      <c r="A190" s="6"/>
      <c r="B190" s="57"/>
      <c r="C190" s="50"/>
      <c r="D190" s="50"/>
      <c r="E190" s="50"/>
      <c r="F190" s="50"/>
      <c r="H190" s="49"/>
      <c r="I190" s="49"/>
      <c r="J190" s="49"/>
      <c r="K190" s="49"/>
      <c r="L190" s="49"/>
      <c r="M190" s="49"/>
      <c r="N190" s="49"/>
      <c r="O190" s="49"/>
      <c r="P190" s="49"/>
      <c r="Q190" s="49"/>
      <c r="R190" s="49"/>
      <c r="S190" s="49"/>
      <c r="T190" s="49"/>
      <c r="W190" s="67"/>
      <c r="X190" s="68"/>
    </row>
    <row r="191" spans="1:24" ht="13.8">
      <c r="A191" s="59"/>
      <c r="B191" s="60"/>
      <c r="C191" s="61"/>
      <c r="D191" s="61"/>
      <c r="E191" s="61"/>
      <c r="F191" s="61"/>
      <c r="G191" s="61"/>
      <c r="H191" s="60"/>
      <c r="I191" s="60"/>
      <c r="J191" s="60"/>
      <c r="K191" s="60"/>
      <c r="L191" s="60"/>
      <c r="M191" s="60"/>
      <c r="N191" s="60"/>
      <c r="O191" s="60"/>
      <c r="P191" s="60"/>
      <c r="Q191" s="60"/>
      <c r="R191" s="60"/>
      <c r="S191" s="60"/>
      <c r="T191" s="60"/>
      <c r="U191" s="61"/>
      <c r="V191" s="61"/>
      <c r="W191" s="67"/>
      <c r="X191" s="68"/>
    </row>
    <row r="192" spans="1:24" ht="13.8">
      <c r="A192" s="59"/>
      <c r="B192" s="60"/>
      <c r="C192" s="61"/>
      <c r="D192" s="61"/>
      <c r="E192" s="61"/>
      <c r="F192" s="61"/>
      <c r="G192" s="61"/>
      <c r="H192" s="60"/>
      <c r="I192" s="60"/>
      <c r="J192" s="60"/>
      <c r="K192" s="60"/>
      <c r="L192" s="60"/>
      <c r="M192" s="60"/>
      <c r="N192" s="60"/>
      <c r="O192" s="60"/>
      <c r="P192" s="60"/>
      <c r="Q192" s="60"/>
      <c r="R192" s="60"/>
      <c r="S192" s="60"/>
      <c r="T192" s="60"/>
      <c r="U192" s="61"/>
      <c r="V192" s="61"/>
      <c r="W192" s="67"/>
      <c r="X192" s="67"/>
    </row>
    <row r="193" spans="1:24" ht="13.8">
      <c r="A193" s="59"/>
      <c r="B193" s="60"/>
      <c r="C193" s="61"/>
      <c r="D193" s="61"/>
      <c r="E193" s="61"/>
      <c r="F193" s="61"/>
      <c r="G193" s="61"/>
      <c r="H193" s="60"/>
      <c r="I193" s="60"/>
      <c r="J193" s="60"/>
      <c r="K193" s="60"/>
      <c r="L193" s="60"/>
      <c r="M193" s="60"/>
      <c r="N193" s="60"/>
      <c r="O193" s="60"/>
      <c r="P193" s="60"/>
      <c r="Q193" s="60"/>
      <c r="R193" s="60"/>
      <c r="S193" s="60"/>
      <c r="T193" s="61"/>
      <c r="U193" s="61"/>
      <c r="V193" s="61"/>
    </row>
    <row r="194" spans="1:24" ht="13.8">
      <c r="A194" s="59"/>
      <c r="B194" s="60"/>
      <c r="C194" s="61"/>
      <c r="D194" s="61"/>
      <c r="E194" s="61"/>
      <c r="F194" s="61"/>
      <c r="G194" s="61"/>
      <c r="H194" s="60"/>
      <c r="I194" s="60"/>
      <c r="J194" s="60"/>
      <c r="K194" s="60"/>
      <c r="L194" s="60"/>
      <c r="M194" s="60"/>
      <c r="N194" s="60"/>
      <c r="O194" s="60"/>
      <c r="P194" s="60"/>
      <c r="Q194" s="60"/>
      <c r="R194" s="60"/>
      <c r="S194" s="60"/>
      <c r="T194" s="61"/>
      <c r="U194" s="61"/>
      <c r="V194" s="61"/>
      <c r="W194" s="69"/>
      <c r="X194" s="69"/>
    </row>
    <row r="195" spans="1:24" ht="13.8">
      <c r="A195" s="59"/>
      <c r="B195" s="59"/>
      <c r="C195" s="61"/>
      <c r="D195" s="61"/>
      <c r="E195" s="61"/>
      <c r="F195" s="61"/>
      <c r="G195" s="61"/>
      <c r="H195" s="60"/>
      <c r="I195" s="60"/>
      <c r="J195" s="60"/>
      <c r="K195" s="60"/>
      <c r="L195" s="60"/>
      <c r="M195" s="60"/>
      <c r="N195" s="60"/>
      <c r="O195" s="60"/>
      <c r="P195" s="60"/>
      <c r="Q195" s="60"/>
      <c r="R195" s="60"/>
      <c r="S195" s="60"/>
      <c r="T195" s="61"/>
      <c r="U195" s="61"/>
      <c r="V195" s="61"/>
      <c r="W195" s="1195"/>
      <c r="X195" s="1195"/>
    </row>
    <row r="196" spans="1:24">
      <c r="A196" s="1203"/>
      <c r="B196" s="1203"/>
      <c r="C196" s="1203"/>
      <c r="D196" s="1203"/>
      <c r="E196" s="1203"/>
      <c r="F196" s="1203"/>
      <c r="G196" s="62"/>
      <c r="H196" s="63"/>
      <c r="I196" s="63"/>
      <c r="J196" s="61"/>
      <c r="K196" s="61"/>
      <c r="L196" s="61"/>
      <c r="M196" s="61"/>
      <c r="N196" s="61"/>
      <c r="O196" s="61"/>
      <c r="P196" s="61"/>
      <c r="Q196" s="61"/>
      <c r="R196" s="61"/>
      <c r="S196" s="61"/>
      <c r="T196" s="61"/>
      <c r="U196" s="61"/>
      <c r="V196" s="61"/>
      <c r="W196" s="70"/>
      <c r="X196" s="70"/>
    </row>
    <row r="197" spans="1:24">
      <c r="A197" s="61"/>
      <c r="B197" s="61"/>
      <c r="C197" s="61"/>
      <c r="D197" s="61"/>
      <c r="E197" s="61"/>
      <c r="F197" s="61"/>
      <c r="G197" s="61"/>
      <c r="H197" s="61"/>
      <c r="I197" s="61"/>
      <c r="J197" s="61"/>
      <c r="K197" s="61"/>
      <c r="L197" s="61"/>
      <c r="M197" s="61"/>
      <c r="N197" s="61"/>
      <c r="O197" s="61"/>
      <c r="P197" s="61"/>
      <c r="Q197" s="61"/>
      <c r="R197" s="61"/>
      <c r="S197" s="61"/>
      <c r="T197" s="61"/>
      <c r="U197" s="61"/>
      <c r="V197" s="61"/>
      <c r="W197" s="1195"/>
      <c r="X197" s="1195"/>
    </row>
    <row r="198" spans="1:24">
      <c r="A198" s="61"/>
      <c r="B198" s="61"/>
      <c r="C198" s="61"/>
      <c r="D198" s="61"/>
      <c r="E198" s="61"/>
      <c r="F198" s="61"/>
      <c r="G198" s="61"/>
      <c r="H198" s="61"/>
      <c r="I198" s="61"/>
      <c r="J198" s="61"/>
      <c r="K198" s="61"/>
      <c r="L198" s="61"/>
      <c r="M198" s="61"/>
      <c r="N198" s="61"/>
      <c r="O198" s="61"/>
      <c r="P198" s="61"/>
      <c r="Q198" s="61"/>
      <c r="R198" s="61"/>
      <c r="S198" s="61"/>
      <c r="T198" s="61"/>
      <c r="U198" s="61"/>
      <c r="V198" s="61"/>
    </row>
    <row r="199" spans="1:24">
      <c r="A199" s="61"/>
      <c r="B199" s="61"/>
      <c r="C199" s="61"/>
      <c r="D199" s="61"/>
      <c r="E199" s="61"/>
      <c r="F199" s="61"/>
      <c r="G199" s="61"/>
      <c r="H199" s="61"/>
      <c r="I199" s="61"/>
      <c r="J199" s="61"/>
      <c r="K199" s="61"/>
      <c r="L199" s="61"/>
      <c r="M199" s="61"/>
      <c r="N199" s="61"/>
      <c r="O199" s="61"/>
      <c r="P199" s="61"/>
      <c r="Q199" s="61"/>
      <c r="R199" s="61"/>
      <c r="S199" s="61"/>
      <c r="T199" s="61"/>
      <c r="U199" s="61"/>
      <c r="V199" s="61"/>
    </row>
    <row r="200" spans="1:24">
      <c r="A200" s="61"/>
      <c r="B200" s="61"/>
      <c r="C200" s="61"/>
      <c r="D200" s="61"/>
      <c r="E200" s="61"/>
      <c r="F200" s="61"/>
      <c r="G200" s="61"/>
      <c r="H200" s="61"/>
      <c r="I200" s="61"/>
      <c r="J200" s="61"/>
      <c r="K200" s="61"/>
      <c r="L200" s="61"/>
      <c r="M200" s="61"/>
      <c r="N200" s="61"/>
      <c r="O200" s="61"/>
      <c r="P200" s="61"/>
      <c r="Q200" s="61"/>
      <c r="R200" s="61"/>
      <c r="S200" s="61"/>
      <c r="T200" s="61"/>
      <c r="U200" s="61"/>
      <c r="V200" s="61"/>
    </row>
    <row r="201" spans="1:24">
      <c r="A201" s="61"/>
      <c r="B201" s="61"/>
      <c r="C201" s="61"/>
      <c r="D201" s="61"/>
      <c r="E201" s="61"/>
      <c r="F201" s="61"/>
      <c r="G201" s="61"/>
      <c r="H201" s="61"/>
      <c r="I201" s="61"/>
      <c r="J201" s="61"/>
      <c r="K201" s="61"/>
      <c r="L201" s="61"/>
      <c r="M201" s="61"/>
      <c r="N201" s="61"/>
      <c r="O201" s="61"/>
      <c r="P201" s="61"/>
      <c r="Q201" s="61"/>
      <c r="R201" s="61"/>
      <c r="S201" s="61"/>
      <c r="T201" s="61"/>
      <c r="U201" s="61"/>
      <c r="V201" s="61"/>
    </row>
    <row r="202" spans="1:24">
      <c r="A202" s="61"/>
      <c r="B202" s="61"/>
      <c r="C202" s="61"/>
      <c r="D202" s="61"/>
      <c r="E202" s="61"/>
      <c r="F202" s="61"/>
      <c r="G202" s="61"/>
      <c r="H202" s="61"/>
      <c r="I202" s="61"/>
      <c r="J202" s="61"/>
      <c r="K202" s="61"/>
      <c r="L202" s="61"/>
      <c r="M202" s="61"/>
      <c r="N202" s="61"/>
      <c r="O202" s="61"/>
      <c r="P202" s="61"/>
      <c r="Q202" s="61"/>
      <c r="R202" s="61"/>
      <c r="S202" s="61"/>
      <c r="T202" s="61"/>
      <c r="U202" s="61"/>
      <c r="V202" s="61"/>
    </row>
  </sheetData>
  <mergeCells count="27">
    <mergeCell ref="W172:X174"/>
    <mergeCell ref="W139:X141"/>
    <mergeCell ref="H12:T13"/>
    <mergeCell ref="F94:F95"/>
    <mergeCell ref="H94:T95"/>
    <mergeCell ref="W113:X113"/>
    <mergeCell ref="D129:F129"/>
    <mergeCell ref="C140:F140"/>
    <mergeCell ref="A110:F110"/>
    <mergeCell ref="W111:X111"/>
    <mergeCell ref="F12:F13"/>
    <mergeCell ref="W197:X197"/>
    <mergeCell ref="A141:A143"/>
    <mergeCell ref="A176:A178"/>
    <mergeCell ref="C141:C143"/>
    <mergeCell ref="C176:C178"/>
    <mergeCell ref="D141:D143"/>
    <mergeCell ref="D176:D178"/>
    <mergeCell ref="F141:F143"/>
    <mergeCell ref="W155:X155"/>
    <mergeCell ref="D163:F163"/>
    <mergeCell ref="C175:F175"/>
    <mergeCell ref="W195:X195"/>
    <mergeCell ref="A196:F196"/>
    <mergeCell ref="F176:F178"/>
    <mergeCell ref="W153:X153"/>
    <mergeCell ref="A154:F154"/>
  </mergeCells>
  <pageMargins left="0.1" right="0.1" top="0.27" bottom="0.28000000000000003"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OBR</vt:lpstr>
      <vt:lpstr>VOUCHER</vt:lpstr>
      <vt:lpstr>payroll(FEB)</vt:lpstr>
      <vt:lpstr> gsis</vt:lpstr>
      <vt:lpstr>PAG-IBIG</vt:lpstr>
      <vt:lpstr>WTAX</vt:lpstr>
      <vt:lpstr>DBP</vt:lpstr>
      <vt:lpstr>PARACLE</vt:lpstr>
      <vt:lpstr>LBP</vt:lpstr>
      <vt:lpstr>CNGWMPC</vt:lpstr>
      <vt:lpstr>PAYSLIP</vt:lpstr>
      <vt:lpstr>PHIC (1)</vt:lpstr>
      <vt:lpstr>OBR!Print_Area</vt:lpstr>
      <vt:lpstr>'payroll(FEB)'!Print_Area</vt:lpstr>
      <vt:lpstr>VOUCHER!Print_Area</vt:lpstr>
    </vt:vector>
  </TitlesOfParts>
  <Company>BICOL PROVINCIAL CAPITOL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OPEY A.</dc:creator>
  <cp:lastModifiedBy>johnlloydoresca6@gmail.com</cp:lastModifiedBy>
  <cp:lastPrinted>2026-02-23T07:01:46Z</cp:lastPrinted>
  <dcterms:created xsi:type="dcterms:W3CDTF">2000-04-13T07:58:00Z</dcterms:created>
  <dcterms:modified xsi:type="dcterms:W3CDTF">2026-02-24T01:08:24Z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5A43867B9E284917B208D5AE1087C73B_12</vt:lpwstr>
  </property>
  <property fmtid="{D5CDD505-2E9C-101B-9397-08002B2CF9AE}" pid="3" name="KSOProductBuildVer">
    <vt:lpwstr>1033-12.2.0.20326</vt:lpwstr>
  </property>
</Properties>
</file>